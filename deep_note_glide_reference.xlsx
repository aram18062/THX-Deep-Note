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Climb curve" sheetId="2" state="visible" r:id="rId4"/>
    <sheet name="Dive tim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Values copied from deep_note_play.py as delivered on 2026-10-17.</t>
        </r>
      </text>
    </comment>
  </commentList>
</comments>
</file>

<file path=xl/sharedStrings.xml><?xml version="1.0" encoding="utf-8"?>
<sst xmlns="http://schemas.openxmlformats.org/spreadsheetml/2006/main" count="104" uniqueCount="85">
  <si>
    <t xml:space="preserve">Deep Note glide settings (deep_note_play.py)</t>
  </si>
  <si>
    <t xml:space="preserve">Blue values are the script's current settings. Change them here to see the effect on the other sheets (this does not change the script).</t>
  </si>
  <si>
    <t xml:space="preserve">Setting</t>
  </si>
  <si>
    <t xml:space="preserve">Value</t>
  </si>
  <si>
    <t xml:space="preserve">Unit</t>
  </si>
  <si>
    <t xml:space="preserve">Group</t>
  </si>
  <si>
    <t xml:space="preserve">What it does</t>
  </si>
  <si>
    <t xml:space="preserve">UP_THRESHOLD</t>
  </si>
  <si>
    <t xml:space="preserve">Hz</t>
  </si>
  <si>
    <t xml:space="preserve">Both</t>
  </si>
  <si>
    <t xml:space="preserve">Voices landing above this climb (accelerating); at or below it they dive (ease-in-out)</t>
  </si>
  <si>
    <t xml:space="preserve">GLIDE_START</t>
  </si>
  <si>
    <t xml:space="preserve">s</t>
  </si>
  <si>
    <t xml:space="preserve">Dive</t>
  </si>
  <si>
    <t xml:space="preserve">When the lowest voices (D1) start diving</t>
  </si>
  <si>
    <t xml:space="preserve">GLIDE_STAGGER</t>
  </si>
  <si>
    <t xml:space="preserve">Higher-landing dive voices start up to this much later, scaled by target pitch</t>
  </si>
  <si>
    <t xml:space="preserve">GLIDE_T_MIN</t>
  </si>
  <si>
    <t xml:space="preserve">Shortest dive glide</t>
  </si>
  <si>
    <t xml:space="preserve">GLIDE_T_MAX</t>
  </si>
  <si>
    <t xml:space="preserve">Longest dive glide</t>
  </si>
  <si>
    <t xml:space="preserve">UP_GLIDE_START</t>
  </si>
  <si>
    <t xml:space="preserve">Climb</t>
  </si>
  <si>
    <t xml:space="preserve">When the climbing voices take off</t>
  </si>
  <si>
    <t xml:space="preserve">UP_GLIDE_T_MIN</t>
  </si>
  <si>
    <t xml:space="preserve">Shortest climb</t>
  </si>
  <si>
    <t xml:space="preserve">UP_GLIDE_T_MAX</t>
  </si>
  <si>
    <t xml:space="preserve">Longest climb</t>
  </si>
  <si>
    <t xml:space="preserve">UP_GLIDE_POWER</t>
  </si>
  <si>
    <t xml:space="preserve">Acceleration of the climb: 1.0 = steady; higher = slower start, more explosive finish</t>
  </si>
  <si>
    <t xml:space="preserve">GLIDE_JITTER</t>
  </si>
  <si>
    <t xml:space="preserve">Random extra delay per voice, 0 to this (both groups)</t>
  </si>
  <si>
    <t xml:space="preserve">CRESC_START</t>
  </si>
  <si>
    <t xml:space="preserve">When the volume swell begins (independent of the glides)</t>
  </si>
  <si>
    <t xml:space="preserve">Climbing voices: how UP_GLIDE_POWER shapes the acceleration</t>
  </si>
  <si>
    <t xml:space="preserve">Pitch progress = (time progress) ^ UP_GLIDE_POWER. The speed-up runs from take-off to landing; there is no separate 'speed-up starts' setting.</t>
  </si>
  <si>
    <t xml:space="preserve">Climb done at halfway (time)</t>
  </si>
  <si>
    <t xml:space="preserve">Feel</t>
  </si>
  <si>
    <t xml:space="preserve">Steady climb, no acceleration</t>
  </si>
  <si>
    <t xml:space="preserve">Gentle, continuous speed-up</t>
  </si>
  <si>
    <t xml:space="preserve">Clearly slow start, fast finish</t>
  </si>
  <si>
    <t xml:space="preserve">Lingers, then shoots up near the end</t>
  </si>
  <si>
    <t xml:space="preserve">Almost holds, then a sudden late surge</t>
  </si>
  <si>
    <t xml:space="preserve">Current setting (from Settings sheet)</t>
  </si>
  <si>
    <t xml:space="preserve">Pitch progress through the climb (0% = start note, 100% = chord note)</t>
  </si>
  <si>
    <t xml:space="preserve">Time through climb</t>
  </si>
  <si>
    <t xml:space="preserve">Power 1.0</t>
  </si>
  <si>
    <t xml:space="preserve">Power 1.3</t>
  </si>
  <si>
    <t xml:space="preserve">Power 2.0</t>
  </si>
  <si>
    <t xml:space="preserve">Power 3.0</t>
  </si>
  <si>
    <t xml:space="preserve">Power 4.0</t>
  </si>
  <si>
    <t xml:space="preserve">Current</t>
  </si>
  <si>
    <t xml:space="preserve">Climb timing with current settings</t>
  </si>
  <si>
    <t xml:space="preserve">Earliest take-off (s)</t>
  </si>
  <si>
    <t xml:space="preserve">Latest take-off (s)</t>
  </si>
  <si>
    <t xml:space="preserve">Typical landing (s)</t>
  </si>
  <si>
    <t xml:space="preserve">Latest landing (s)</t>
  </si>
  <si>
    <t xml:space="preserve">Climbing voices are fastest at the moment they land (for any power above 1.0).</t>
  </si>
  <si>
    <t xml:space="preserve">When each voice group starts gliding and moves fastest</t>
  </si>
  <si>
    <t xml:space="preserve">Dive voices use an ease-in-out curve: they speed up, are fastest at the midpoint of their glide, then slow into their note. Times exclude the random jitter (add 0 to GLIDE_JITTER).</t>
  </si>
  <si>
    <t xml:space="preserve">Chord note</t>
  </si>
  <si>
    <t xml:space="preserve">Ratio to D1</t>
  </si>
  <si>
    <t xml:space="preserve">Target (Hz)</t>
  </si>
  <si>
    <t xml:space="preserve">Voices</t>
  </si>
  <si>
    <t xml:space="preserve">Rank (0 = D1, 1 = A6)</t>
  </si>
  <si>
    <t xml:space="preserve">Glide start (s)</t>
  </si>
  <si>
    <t xml:space="preserve">Fastest moment (s)</t>
  </si>
  <si>
    <t xml:space="preserve">D1</t>
  </si>
  <si>
    <t xml:space="preserve">A1</t>
  </si>
  <si>
    <t xml:space="preserve">D2</t>
  </si>
  <si>
    <t xml:space="preserve">A2</t>
  </si>
  <si>
    <t xml:space="preserve">D3</t>
  </si>
  <si>
    <t xml:space="preserve">A3</t>
  </si>
  <si>
    <t xml:space="preserve">D4</t>
  </si>
  <si>
    <t xml:space="preserve">A4</t>
  </si>
  <si>
    <t xml:space="preserve">D5</t>
  </si>
  <si>
    <t xml:space="preserve">A5</t>
  </si>
  <si>
    <t xml:space="preserve">F#6</t>
  </si>
  <si>
    <t xml:space="preserve">A6</t>
  </si>
  <si>
    <t xml:space="preserve">Total voices</t>
  </si>
  <si>
    <t xml:space="preserve">Notes</t>
  </si>
  <si>
    <t xml:space="preserve">Target pitch uses D1 = 37.8 Hz; the script also tunes upper notes ~12 cents flat and adds small detune, ignored here.</t>
  </si>
  <si>
    <t xml:space="preserve">Climb voices' 'fastest moment' is their landing, because they accelerate all the way in.</t>
  </si>
  <si>
    <t xml:space="preserve">Some 'Dive' voices (A3, D4) actually move slightly up from their 140-270 Hz start, but follow the dive timing and curve.</t>
  </si>
  <si>
    <t xml:space="preserve">Voice counts come from build_final_chord() in the script.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</si>
</sst>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%"/>
    <numFmt numFmtId="167" formatCode="0%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4858"/>
        <bgColor rgb="FF55555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400</v>
      </c>
      <c r="C5" s="6" t="s">
        <v>8</v>
      </c>
      <c r="D5" s="6" t="s">
        <v>9</v>
      </c>
      <c r="E5" s="7" t="s">
        <v>10</v>
      </c>
    </row>
    <row r="6" customFormat="false" ht="15" hidden="false" customHeight="false" outlineLevel="0" collapsed="false">
      <c r="A6" s="4" t="s">
        <v>11</v>
      </c>
      <c r="B6" s="5" t="n">
        <v>11.5</v>
      </c>
      <c r="C6" s="6" t="s">
        <v>12</v>
      </c>
      <c r="D6" s="6" t="s">
        <v>13</v>
      </c>
      <c r="E6" s="7" t="s">
        <v>14</v>
      </c>
    </row>
    <row r="7" customFormat="false" ht="15" hidden="false" customHeight="false" outlineLevel="0" collapsed="false">
      <c r="A7" s="4" t="s">
        <v>15</v>
      </c>
      <c r="B7" s="5" t="n">
        <v>2.5</v>
      </c>
      <c r="C7" s="6" t="s">
        <v>12</v>
      </c>
      <c r="D7" s="6" t="s">
        <v>13</v>
      </c>
      <c r="E7" s="7" t="s">
        <v>16</v>
      </c>
    </row>
    <row r="8" customFormat="false" ht="15" hidden="false" customHeight="false" outlineLevel="0" collapsed="false">
      <c r="A8" s="4" t="s">
        <v>17</v>
      </c>
      <c r="B8" s="5" t="n">
        <v>3</v>
      </c>
      <c r="C8" s="6" t="s">
        <v>12</v>
      </c>
      <c r="D8" s="6" t="s">
        <v>13</v>
      </c>
      <c r="E8" s="7" t="s">
        <v>18</v>
      </c>
    </row>
    <row r="9" customFormat="false" ht="15" hidden="false" customHeight="false" outlineLevel="0" collapsed="false">
      <c r="A9" s="4" t="s">
        <v>19</v>
      </c>
      <c r="B9" s="5" t="n">
        <v>4.5</v>
      </c>
      <c r="C9" s="6" t="s">
        <v>12</v>
      </c>
      <c r="D9" s="6" t="s">
        <v>13</v>
      </c>
      <c r="E9" s="7" t="s">
        <v>20</v>
      </c>
    </row>
    <row r="10" customFormat="false" ht="15" hidden="false" customHeight="false" outlineLevel="0" collapsed="false">
      <c r="A10" s="4" t="s">
        <v>21</v>
      </c>
      <c r="B10" s="5" t="n">
        <v>12</v>
      </c>
      <c r="C10" s="6" t="s">
        <v>12</v>
      </c>
      <c r="D10" s="6" t="s">
        <v>22</v>
      </c>
      <c r="E10" s="7" t="s">
        <v>23</v>
      </c>
    </row>
    <row r="11" customFormat="false" ht="15" hidden="false" customHeight="false" outlineLevel="0" collapsed="false">
      <c r="A11" s="4" t="s">
        <v>24</v>
      </c>
      <c r="B11" s="5" t="n">
        <v>5</v>
      </c>
      <c r="C11" s="6" t="s">
        <v>12</v>
      </c>
      <c r="D11" s="6" t="s">
        <v>22</v>
      </c>
      <c r="E11" s="7" t="s">
        <v>25</v>
      </c>
    </row>
    <row r="12" customFormat="false" ht="15" hidden="false" customHeight="false" outlineLevel="0" collapsed="false">
      <c r="A12" s="4" t="s">
        <v>26</v>
      </c>
      <c r="B12" s="5" t="n">
        <v>5.5</v>
      </c>
      <c r="C12" s="6" t="s">
        <v>12</v>
      </c>
      <c r="D12" s="6" t="s">
        <v>22</v>
      </c>
      <c r="E12" s="7" t="s">
        <v>27</v>
      </c>
    </row>
    <row r="13" customFormat="false" ht="15" hidden="false" customHeight="false" outlineLevel="0" collapsed="false">
      <c r="A13" s="4" t="s">
        <v>28</v>
      </c>
      <c r="B13" s="5" t="n">
        <v>1.3</v>
      </c>
      <c r="C13" s="6"/>
      <c r="D13" s="6" t="s">
        <v>22</v>
      </c>
      <c r="E13" s="7" t="s">
        <v>29</v>
      </c>
    </row>
    <row r="14" customFormat="false" ht="15" hidden="false" customHeight="false" outlineLevel="0" collapsed="false">
      <c r="A14" s="4" t="s">
        <v>30</v>
      </c>
      <c r="B14" s="5" t="n">
        <v>0.5</v>
      </c>
      <c r="C14" s="6" t="s">
        <v>12</v>
      </c>
      <c r="D14" s="6" t="s">
        <v>9</v>
      </c>
      <c r="E14" s="7" t="s">
        <v>31</v>
      </c>
    </row>
    <row r="15" customFormat="false" ht="15" hidden="false" customHeight="false" outlineLevel="0" collapsed="false">
      <c r="A15" s="4" t="s">
        <v>32</v>
      </c>
      <c r="B15" s="5" t="n">
        <v>12.5</v>
      </c>
      <c r="C15" s="6" t="s">
        <v>12</v>
      </c>
      <c r="D15" s="6" t="s">
        <v>9</v>
      </c>
      <c r="E15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7" min="4" style="0" width="1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26.85" hidden="false" customHeight="false" outlineLevel="0" collapsed="false">
      <c r="A4" s="3" t="s">
        <v>28</v>
      </c>
      <c r="B4" s="3" t="s">
        <v>36</v>
      </c>
      <c r="C4" s="3" t="s">
        <v>37</v>
      </c>
    </row>
    <row r="5" customFormat="false" ht="15" hidden="false" customHeight="false" outlineLevel="0" collapsed="false">
      <c r="A5" s="8" t="n">
        <v>1</v>
      </c>
      <c r="B5" s="9" t="n">
        <f aca="false">0.5^A5</f>
        <v>0.5</v>
      </c>
      <c r="C5" s="6" t="s">
        <v>38</v>
      </c>
    </row>
    <row r="6" customFormat="false" ht="15" hidden="false" customHeight="false" outlineLevel="0" collapsed="false">
      <c r="A6" s="8" t="n">
        <v>1.3</v>
      </c>
      <c r="B6" s="9" t="n">
        <f aca="false">0.5^A6</f>
        <v>0.406126198178118</v>
      </c>
      <c r="C6" s="6" t="s">
        <v>39</v>
      </c>
    </row>
    <row r="7" customFormat="false" ht="15" hidden="false" customHeight="false" outlineLevel="0" collapsed="false">
      <c r="A7" s="8" t="n">
        <v>2</v>
      </c>
      <c r="B7" s="9" t="n">
        <f aca="false">0.5^A7</f>
        <v>0.25</v>
      </c>
      <c r="C7" s="6" t="s">
        <v>40</v>
      </c>
    </row>
    <row r="8" customFormat="false" ht="15" hidden="false" customHeight="false" outlineLevel="0" collapsed="false">
      <c r="A8" s="8" t="n">
        <v>3</v>
      </c>
      <c r="B8" s="9" t="n">
        <f aca="false">0.5^A8</f>
        <v>0.125</v>
      </c>
      <c r="C8" s="6" t="s">
        <v>41</v>
      </c>
    </row>
    <row r="9" customFormat="false" ht="15" hidden="false" customHeight="false" outlineLevel="0" collapsed="false">
      <c r="A9" s="8" t="n">
        <v>4</v>
      </c>
      <c r="B9" s="9" t="n">
        <f aca="false">0.5^A9</f>
        <v>0.0625</v>
      </c>
      <c r="C9" s="6" t="s">
        <v>42</v>
      </c>
    </row>
    <row r="10" customFormat="false" ht="15" hidden="false" customHeight="false" outlineLevel="0" collapsed="false">
      <c r="A10" s="10" t="n">
        <f aca="false">Settings!$B$13</f>
        <v>1.3</v>
      </c>
      <c r="B10" s="11" t="n">
        <f aca="false">0.5^A10</f>
        <v>0.406126198178118</v>
      </c>
      <c r="C10" s="4" t="s">
        <v>43</v>
      </c>
    </row>
    <row r="12" customFormat="false" ht="15" hidden="false" customHeight="false" outlineLevel="0" collapsed="false">
      <c r="A12" s="4" t="s">
        <v>44</v>
      </c>
    </row>
    <row r="13" customFormat="false" ht="15" hidden="false" customHeight="false" outlineLevel="0" collapsed="false">
      <c r="A13" s="3" t="s">
        <v>45</v>
      </c>
      <c r="B13" s="3" t="s">
        <v>46</v>
      </c>
      <c r="C13" s="3" t="s">
        <v>47</v>
      </c>
      <c r="D13" s="3" t="s">
        <v>48</v>
      </c>
      <c r="E13" s="3" t="s">
        <v>49</v>
      </c>
      <c r="F13" s="3" t="s">
        <v>50</v>
      </c>
      <c r="G13" s="3" t="s">
        <v>51</v>
      </c>
    </row>
    <row r="14" customFormat="false" ht="15" hidden="false" customHeight="false" outlineLevel="0" collapsed="false">
      <c r="A14" s="12" t="n">
        <v>0</v>
      </c>
      <c r="B14" s="9" t="n">
        <f aca="false">$A14^A$5</f>
        <v>0</v>
      </c>
      <c r="C14" s="9" t="n">
        <f aca="false">$A14^A$6</f>
        <v>0</v>
      </c>
      <c r="D14" s="9" t="n">
        <f aca="false">$A14^A$7</f>
        <v>0</v>
      </c>
      <c r="E14" s="9" t="n">
        <f aca="false">$A14^A$8</f>
        <v>0</v>
      </c>
      <c r="F14" s="9" t="n">
        <f aca="false">$A14^A$9</f>
        <v>0</v>
      </c>
      <c r="G14" s="9" t="n">
        <f aca="false">$A14^$A$10</f>
        <v>0</v>
      </c>
    </row>
    <row r="15" customFormat="false" ht="15" hidden="false" customHeight="false" outlineLevel="0" collapsed="false">
      <c r="A15" s="12" t="n">
        <v>0.1</v>
      </c>
      <c r="B15" s="9" t="n">
        <f aca="false">$A15^A$5</f>
        <v>0.1</v>
      </c>
      <c r="C15" s="9" t="n">
        <f aca="false">$A15^A$6</f>
        <v>0.0501187233627272</v>
      </c>
      <c r="D15" s="9" t="n">
        <f aca="false">$A15^A$7</f>
        <v>0.01</v>
      </c>
      <c r="E15" s="9" t="n">
        <f aca="false">$A15^A$8</f>
        <v>0.001</v>
      </c>
      <c r="F15" s="9" t="n">
        <f aca="false">$A15^A$9</f>
        <v>0.0001</v>
      </c>
      <c r="G15" s="9" t="n">
        <f aca="false">$A15^$A$10</f>
        <v>0.0501187233627272</v>
      </c>
    </row>
    <row r="16" customFormat="false" ht="15" hidden="false" customHeight="false" outlineLevel="0" collapsed="false">
      <c r="A16" s="12" t="n">
        <v>0.2</v>
      </c>
      <c r="B16" s="9" t="n">
        <f aca="false">$A16^A$5</f>
        <v>0.2</v>
      </c>
      <c r="C16" s="9" t="n">
        <f aca="false">$A16^A$6</f>
        <v>0.123406772544002</v>
      </c>
      <c r="D16" s="9" t="n">
        <f aca="false">$A16^A$7</f>
        <v>0.04</v>
      </c>
      <c r="E16" s="9" t="n">
        <f aca="false">$A16^A$8</f>
        <v>0.008</v>
      </c>
      <c r="F16" s="9" t="n">
        <f aca="false">$A16^A$9</f>
        <v>0.0016</v>
      </c>
      <c r="G16" s="9" t="n">
        <f aca="false">$A16^$A$10</f>
        <v>0.123406772544002</v>
      </c>
    </row>
    <row r="17" customFormat="false" ht="15" hidden="false" customHeight="false" outlineLevel="0" collapsed="false">
      <c r="A17" s="12" t="n">
        <v>0.3</v>
      </c>
      <c r="B17" s="9" t="n">
        <f aca="false">$A17^A$5</f>
        <v>0.3</v>
      </c>
      <c r="C17" s="9" t="n">
        <f aca="false">$A17^A$6</f>
        <v>0.209053590580785</v>
      </c>
      <c r="D17" s="9" t="n">
        <f aca="false">$A17^A$7</f>
        <v>0.09</v>
      </c>
      <c r="E17" s="9" t="n">
        <f aca="false">$A17^A$8</f>
        <v>0.027</v>
      </c>
      <c r="F17" s="9" t="n">
        <f aca="false">$A17^A$9</f>
        <v>0.0081</v>
      </c>
      <c r="G17" s="9" t="n">
        <f aca="false">$A17^$A$10</f>
        <v>0.209053590580785</v>
      </c>
    </row>
    <row r="18" customFormat="false" ht="15" hidden="false" customHeight="false" outlineLevel="0" collapsed="false">
      <c r="A18" s="12" t="n">
        <v>0.4</v>
      </c>
      <c r="B18" s="9" t="n">
        <f aca="false">$A18^A$5</f>
        <v>0.4</v>
      </c>
      <c r="C18" s="9" t="n">
        <f aca="false">$A18^A$6</f>
        <v>0.30386311717295</v>
      </c>
      <c r="D18" s="9" t="n">
        <f aca="false">$A18^A$7</f>
        <v>0.16</v>
      </c>
      <c r="E18" s="9" t="n">
        <f aca="false">$A18^A$8</f>
        <v>0.064</v>
      </c>
      <c r="F18" s="9" t="n">
        <f aca="false">$A18^A$9</f>
        <v>0.0256</v>
      </c>
      <c r="G18" s="9" t="n">
        <f aca="false">$A18^$A$10</f>
        <v>0.30386311717295</v>
      </c>
    </row>
    <row r="19" customFormat="false" ht="15" hidden="false" customHeight="false" outlineLevel="0" collapsed="false">
      <c r="A19" s="12" t="n">
        <v>0.5</v>
      </c>
      <c r="B19" s="9" t="n">
        <f aca="false">$A19^A$5</f>
        <v>0.5</v>
      </c>
      <c r="C19" s="9" t="n">
        <f aca="false">$A19^A$6</f>
        <v>0.406126198178118</v>
      </c>
      <c r="D19" s="9" t="n">
        <f aca="false">$A19^A$7</f>
        <v>0.25</v>
      </c>
      <c r="E19" s="9" t="n">
        <f aca="false">$A19^A$8</f>
        <v>0.125</v>
      </c>
      <c r="F19" s="9" t="n">
        <f aca="false">$A19^A$9</f>
        <v>0.0625</v>
      </c>
      <c r="G19" s="9" t="n">
        <f aca="false">$A19^$A$10</f>
        <v>0.406126198178118</v>
      </c>
    </row>
    <row r="20" customFormat="false" ht="15" hidden="false" customHeight="false" outlineLevel="0" collapsed="false">
      <c r="A20" s="12" t="n">
        <v>0.6</v>
      </c>
      <c r="B20" s="9" t="n">
        <f aca="false">$A20^A$5</f>
        <v>0.6</v>
      </c>
      <c r="C20" s="9" t="n">
        <f aca="false">$A20^A$6</f>
        <v>0.514750320266457</v>
      </c>
      <c r="D20" s="9" t="n">
        <f aca="false">$A20^A$7</f>
        <v>0.36</v>
      </c>
      <c r="E20" s="9" t="n">
        <f aca="false">$A20^A$8</f>
        <v>0.216</v>
      </c>
      <c r="F20" s="9" t="n">
        <f aca="false">$A20^A$9</f>
        <v>0.1296</v>
      </c>
      <c r="G20" s="9" t="n">
        <f aca="false">$A20^$A$10</f>
        <v>0.514750320266457</v>
      </c>
    </row>
    <row r="21" customFormat="false" ht="15" hidden="false" customHeight="false" outlineLevel="0" collapsed="false">
      <c r="A21" s="12" t="n">
        <v>0.7</v>
      </c>
      <c r="B21" s="9" t="n">
        <f aca="false">$A21^A$5</f>
        <v>0.7</v>
      </c>
      <c r="C21" s="9" t="n">
        <f aca="false">$A21^A$6</f>
        <v>0.628966409253448</v>
      </c>
      <c r="D21" s="9" t="n">
        <f aca="false">$A21^A$7</f>
        <v>0.49</v>
      </c>
      <c r="E21" s="9" t="n">
        <f aca="false">$A21^A$8</f>
        <v>0.343</v>
      </c>
      <c r="F21" s="9" t="n">
        <f aca="false">$A21^A$9</f>
        <v>0.2401</v>
      </c>
      <c r="G21" s="9" t="n">
        <f aca="false">$A21^$A$10</f>
        <v>0.628966409253448</v>
      </c>
    </row>
    <row r="22" customFormat="false" ht="15" hidden="false" customHeight="false" outlineLevel="0" collapsed="false">
      <c r="A22" s="12" t="n">
        <v>0.8</v>
      </c>
      <c r="B22" s="9" t="n">
        <f aca="false">$A22^A$5</f>
        <v>0.8</v>
      </c>
      <c r="C22" s="9" t="n">
        <f aca="false">$A22^A$6</f>
        <v>0.748198758258097</v>
      </c>
      <c r="D22" s="9" t="n">
        <f aca="false">$A22^A$7</f>
        <v>0.64</v>
      </c>
      <c r="E22" s="9" t="n">
        <f aca="false">$A22^A$8</f>
        <v>0.512</v>
      </c>
      <c r="F22" s="9" t="n">
        <f aca="false">$A22^A$9</f>
        <v>0.4096</v>
      </c>
      <c r="G22" s="9" t="n">
        <f aca="false">$A22^$A$10</f>
        <v>0.748198758258097</v>
      </c>
    </row>
    <row r="23" customFormat="false" ht="15" hidden="false" customHeight="false" outlineLevel="0" collapsed="false">
      <c r="A23" s="12" t="n">
        <v>0.9</v>
      </c>
      <c r="B23" s="9" t="n">
        <f aca="false">$A23^A$5</f>
        <v>0.9</v>
      </c>
      <c r="C23" s="9" t="n">
        <f aca="false">$A23^A$6</f>
        <v>0.871997545077537</v>
      </c>
      <c r="D23" s="9" t="n">
        <f aca="false">$A23^A$7</f>
        <v>0.81</v>
      </c>
      <c r="E23" s="9" t="n">
        <f aca="false">$A23^A$8</f>
        <v>0.729</v>
      </c>
      <c r="F23" s="9" t="n">
        <f aca="false">$A23^A$9</f>
        <v>0.6561</v>
      </c>
      <c r="G23" s="9" t="n">
        <f aca="false">$A23^$A$10</f>
        <v>0.871997545077537</v>
      </c>
    </row>
    <row r="24" customFormat="false" ht="15" hidden="false" customHeight="false" outlineLevel="0" collapsed="false">
      <c r="A24" s="12" t="n">
        <v>1</v>
      </c>
      <c r="B24" s="9" t="n">
        <f aca="false">$A24^A$5</f>
        <v>1</v>
      </c>
      <c r="C24" s="9" t="n">
        <f aca="false">$A24^A$6</f>
        <v>1</v>
      </c>
      <c r="D24" s="9" t="n">
        <f aca="false">$A24^A$7</f>
        <v>1</v>
      </c>
      <c r="E24" s="9" t="n">
        <f aca="false">$A24^A$8</f>
        <v>1</v>
      </c>
      <c r="F24" s="9" t="n">
        <f aca="false">$A24^A$9</f>
        <v>1</v>
      </c>
      <c r="G24" s="9" t="n">
        <f aca="false">$A24^$A$10</f>
        <v>1</v>
      </c>
    </row>
    <row r="26" customFormat="false" ht="15" hidden="false" customHeight="false" outlineLevel="0" collapsed="false">
      <c r="A26" s="4" t="s">
        <v>52</v>
      </c>
    </row>
    <row r="27" customFormat="false" ht="15" hidden="false" customHeight="false" outlineLevel="0" collapsed="false">
      <c r="A27" s="6" t="s">
        <v>53</v>
      </c>
      <c r="B27" s="13" t="n">
        <f aca="false">Settings!$B$10</f>
        <v>12</v>
      </c>
    </row>
    <row r="28" customFormat="false" ht="15" hidden="false" customHeight="false" outlineLevel="0" collapsed="false">
      <c r="A28" s="6" t="s">
        <v>54</v>
      </c>
      <c r="B28" s="13" t="n">
        <f aca="false">Settings!$B$10+Settings!$B$14</f>
        <v>12.5</v>
      </c>
    </row>
    <row r="29" customFormat="false" ht="15" hidden="false" customHeight="false" outlineLevel="0" collapsed="false">
      <c r="A29" s="6" t="s">
        <v>55</v>
      </c>
      <c r="B29" s="13" t="n">
        <f aca="false">Settings!$B$10+Settings!$B$14/2+(Settings!$B$11+Settings!$B$12)/2</f>
        <v>17.5</v>
      </c>
    </row>
    <row r="30" customFormat="false" ht="15" hidden="false" customHeight="false" outlineLevel="0" collapsed="false">
      <c r="A30" s="6" t="s">
        <v>56</v>
      </c>
      <c r="B30" s="13" t="n">
        <f aca="false">Settings!$B$10+Settings!$B$14+Settings!$B$12</f>
        <v>18</v>
      </c>
    </row>
    <row r="32" customFormat="false" ht="15" hidden="false" customHeight="false" outlineLevel="0" collapsed="false">
      <c r="A32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8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9" min="8" style="0" width="18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26.85" hidden="false" customHeight="false" outlineLevel="0" collapsed="false">
      <c r="A4" s="3" t="s">
        <v>60</v>
      </c>
      <c r="B4" s="3" t="s">
        <v>61</v>
      </c>
      <c r="C4" s="3" t="s">
        <v>62</v>
      </c>
      <c r="D4" s="3" t="s">
        <v>63</v>
      </c>
      <c r="E4" s="3" t="s">
        <v>5</v>
      </c>
      <c r="F4" s="3" t="s">
        <v>64</v>
      </c>
      <c r="G4" s="3" t="s">
        <v>65</v>
      </c>
      <c r="H4" s="3" t="s">
        <v>66</v>
      </c>
      <c r="I4" s="3" t="s">
        <v>55</v>
      </c>
    </row>
    <row r="5" customFormat="false" ht="15" hidden="false" customHeight="false" outlineLevel="0" collapsed="false">
      <c r="A5" s="4" t="s">
        <v>67</v>
      </c>
      <c r="B5" s="5" t="n">
        <v>1</v>
      </c>
      <c r="C5" s="14" t="n">
        <f aca="false">37.8*B5</f>
        <v>37.8</v>
      </c>
      <c r="D5" s="5" t="n">
        <v>3</v>
      </c>
      <c r="E5" s="6" t="str">
        <f aca="false">IF(C5&gt;Settings!$B$5,"Climb","Dive")</f>
        <v>Dive</v>
      </c>
      <c r="F5" s="15" t="n">
        <f aca="false">LN(B5)/LN(48)</f>
        <v>0</v>
      </c>
      <c r="G5" s="15" t="n">
        <f aca="false">IF(E5="Climb",Settings!$B$10,Settings!$B$6+Settings!$B$7*F5)</f>
        <v>11.5</v>
      </c>
      <c r="H5" s="15" t="n">
        <f aca="false">IF(E5="Climb",G5+(Settings!$B$11+Settings!$B$12)/2,G5+(Settings!$B$8+Settings!$B$9)/4)</f>
        <v>13.375</v>
      </c>
      <c r="I5" s="15" t="n">
        <f aca="false">IF(E5="Climb",G5+(Settings!$B$11+Settings!$B$12)/2,G5+(Settings!$B$8+Settings!$B$9)/2)</f>
        <v>15.25</v>
      </c>
    </row>
    <row r="6" customFormat="false" ht="15" hidden="false" customHeight="false" outlineLevel="0" collapsed="false">
      <c r="A6" s="4" t="s">
        <v>68</v>
      </c>
      <c r="B6" s="5" t="n">
        <v>1.5</v>
      </c>
      <c r="C6" s="14" t="n">
        <f aca="false">37.8*B6</f>
        <v>56.7</v>
      </c>
      <c r="D6" s="5" t="n">
        <v>1</v>
      </c>
      <c r="E6" s="6" t="str">
        <f aca="false">IF(C6&gt;Settings!$B$5,"Climb","Dive")</f>
        <v>Dive</v>
      </c>
      <c r="F6" s="15" t="n">
        <f aca="false">LN(B6)/LN(48)</f>
        <v>0.104738841244793</v>
      </c>
      <c r="G6" s="15" t="n">
        <f aca="false">IF(E6="Climb",Settings!$B$10,Settings!$B$6+Settings!$B$7*F6)</f>
        <v>11.761847103112</v>
      </c>
      <c r="H6" s="15" t="n">
        <f aca="false">IF(E6="Climb",G6+(Settings!$B$11+Settings!$B$12)/2,G6+(Settings!$B$8+Settings!$B$9)/4)</f>
        <v>13.636847103112</v>
      </c>
      <c r="I6" s="15" t="n">
        <f aca="false">IF(E6="Climb",G6+(Settings!$B$11+Settings!$B$12)/2,G6+(Settings!$B$8+Settings!$B$9)/2)</f>
        <v>15.511847103112</v>
      </c>
    </row>
    <row r="7" customFormat="false" ht="15" hidden="false" customHeight="false" outlineLevel="0" collapsed="false">
      <c r="A7" s="4" t="s">
        <v>69</v>
      </c>
      <c r="B7" s="5" t="n">
        <v>2</v>
      </c>
      <c r="C7" s="14" t="n">
        <f aca="false">37.8*B7</f>
        <v>75.6</v>
      </c>
      <c r="D7" s="5" t="n">
        <v>4</v>
      </c>
      <c r="E7" s="6" t="str">
        <f aca="false">IF(C7&gt;Settings!$B$5,"Climb","Dive")</f>
        <v>Dive</v>
      </c>
      <c r="F7" s="15" t="n">
        <f aca="false">LN(B7)/LN(48)</f>
        <v>0.179052231751041</v>
      </c>
      <c r="G7" s="15" t="n">
        <f aca="false">IF(E7="Climb",Settings!$B$10,Settings!$B$6+Settings!$B$7*F7)</f>
        <v>11.9476305793776</v>
      </c>
      <c r="H7" s="15" t="n">
        <f aca="false">IF(E7="Climb",G7+(Settings!$B$11+Settings!$B$12)/2,G7+(Settings!$B$8+Settings!$B$9)/4)</f>
        <v>13.8226305793776</v>
      </c>
      <c r="I7" s="15" t="n">
        <f aca="false">IF(E7="Climb",G7+(Settings!$B$11+Settings!$B$12)/2,G7+(Settings!$B$8+Settings!$B$9)/2)</f>
        <v>15.6976305793776</v>
      </c>
    </row>
    <row r="8" customFormat="false" ht="15" hidden="false" customHeight="false" outlineLevel="0" collapsed="false">
      <c r="A8" s="4" t="s">
        <v>70</v>
      </c>
      <c r="B8" s="5" t="n">
        <v>3</v>
      </c>
      <c r="C8" s="14" t="n">
        <f aca="false">37.8*B8</f>
        <v>113.4</v>
      </c>
      <c r="D8" s="5" t="n">
        <v>1</v>
      </c>
      <c r="E8" s="6" t="str">
        <f aca="false">IF(C8&gt;Settings!$B$5,"Climb","Dive")</f>
        <v>Dive</v>
      </c>
      <c r="F8" s="15" t="n">
        <f aca="false">LN(B8)/LN(48)</f>
        <v>0.283791072995835</v>
      </c>
      <c r="G8" s="15" t="n">
        <f aca="false">IF(E8="Climb",Settings!$B$10,Settings!$B$6+Settings!$B$7*F8)</f>
        <v>12.2094776824896</v>
      </c>
      <c r="H8" s="15" t="n">
        <f aca="false">IF(E8="Climb",G8+(Settings!$B$11+Settings!$B$12)/2,G8+(Settings!$B$8+Settings!$B$9)/4)</f>
        <v>14.0844776824896</v>
      </c>
      <c r="I8" s="15" t="n">
        <f aca="false">IF(E8="Climb",G8+(Settings!$B$11+Settings!$B$12)/2,G8+(Settings!$B$8+Settings!$B$9)/2)</f>
        <v>15.9594776824896</v>
      </c>
    </row>
    <row r="9" customFormat="false" ht="15" hidden="false" customHeight="false" outlineLevel="0" collapsed="false">
      <c r="A9" s="4" t="s">
        <v>71</v>
      </c>
      <c r="B9" s="5" t="n">
        <v>4</v>
      </c>
      <c r="C9" s="14" t="n">
        <f aca="false">37.8*B9</f>
        <v>151.2</v>
      </c>
      <c r="D9" s="5" t="n">
        <v>4</v>
      </c>
      <c r="E9" s="6" t="str">
        <f aca="false">IF(C9&gt;Settings!$B$5,"Climb","Dive")</f>
        <v>Dive</v>
      </c>
      <c r="F9" s="15" t="n">
        <f aca="false">LN(B9)/LN(48)</f>
        <v>0.358104463502083</v>
      </c>
      <c r="G9" s="15" t="n">
        <f aca="false">IF(E9="Climb",Settings!$B$10,Settings!$B$6+Settings!$B$7*F9)</f>
        <v>12.3952611587552</v>
      </c>
      <c r="H9" s="15" t="n">
        <f aca="false">IF(E9="Climb",G9+(Settings!$B$11+Settings!$B$12)/2,G9+(Settings!$B$8+Settings!$B$9)/4)</f>
        <v>14.2702611587552</v>
      </c>
      <c r="I9" s="15" t="n">
        <f aca="false">IF(E9="Climb",G9+(Settings!$B$11+Settings!$B$12)/2,G9+(Settings!$B$8+Settings!$B$9)/2)</f>
        <v>16.1452611587552</v>
      </c>
    </row>
    <row r="10" customFormat="false" ht="15" hidden="false" customHeight="false" outlineLevel="0" collapsed="false">
      <c r="A10" s="4" t="s">
        <v>72</v>
      </c>
      <c r="B10" s="5" t="n">
        <v>6</v>
      </c>
      <c r="C10" s="14" t="n">
        <f aca="false">37.8*B10</f>
        <v>226.8</v>
      </c>
      <c r="D10" s="5" t="n">
        <v>3</v>
      </c>
      <c r="E10" s="6" t="str">
        <f aca="false">IF(C10&gt;Settings!$B$5,"Climb","Dive")</f>
        <v>Dive</v>
      </c>
      <c r="F10" s="15" t="n">
        <f aca="false">LN(B10)/LN(48)</f>
        <v>0.462843304746876</v>
      </c>
      <c r="G10" s="15" t="n">
        <f aca="false">IF(E10="Climb",Settings!$B$10,Settings!$B$6+Settings!$B$7*F10)</f>
        <v>12.6571082618672</v>
      </c>
      <c r="H10" s="15" t="n">
        <f aca="false">IF(E10="Climb",G10+(Settings!$B$11+Settings!$B$12)/2,G10+(Settings!$B$8+Settings!$B$9)/4)</f>
        <v>14.5321082618672</v>
      </c>
      <c r="I10" s="15" t="n">
        <f aca="false">IF(E10="Climb",G10+(Settings!$B$11+Settings!$B$12)/2,G10+(Settings!$B$8+Settings!$B$9)/2)</f>
        <v>16.4071082618672</v>
      </c>
    </row>
    <row r="11" customFormat="false" ht="15" hidden="false" customHeight="false" outlineLevel="0" collapsed="false">
      <c r="A11" s="4" t="s">
        <v>73</v>
      </c>
      <c r="B11" s="5" t="n">
        <v>8</v>
      </c>
      <c r="C11" s="14" t="n">
        <f aca="false">37.8*B11</f>
        <v>302.4</v>
      </c>
      <c r="D11" s="5" t="n">
        <v>3</v>
      </c>
      <c r="E11" s="6" t="str">
        <f aca="false">IF(C11&gt;Settings!$B$5,"Climb","Dive")</f>
        <v>Dive</v>
      </c>
      <c r="F11" s="15" t="n">
        <f aca="false">LN(B11)/LN(48)</f>
        <v>0.537156695253124</v>
      </c>
      <c r="G11" s="15" t="n">
        <f aca="false">IF(E11="Climb",Settings!$B$10,Settings!$B$6+Settings!$B$7*F11)</f>
        <v>12.8428917381328</v>
      </c>
      <c r="H11" s="15" t="n">
        <f aca="false">IF(E11="Climb",G11+(Settings!$B$11+Settings!$B$12)/2,G11+(Settings!$B$8+Settings!$B$9)/4)</f>
        <v>14.7178917381328</v>
      </c>
      <c r="I11" s="15" t="n">
        <f aca="false">IF(E11="Climb",G11+(Settings!$B$11+Settings!$B$12)/2,G11+(Settings!$B$8+Settings!$B$9)/2)</f>
        <v>16.5928917381328</v>
      </c>
    </row>
    <row r="12" customFormat="false" ht="15" hidden="false" customHeight="false" outlineLevel="0" collapsed="false">
      <c r="A12" s="4" t="s">
        <v>74</v>
      </c>
      <c r="B12" s="5" t="n">
        <v>12</v>
      </c>
      <c r="C12" s="14" t="n">
        <f aca="false">37.8*B12</f>
        <v>453.6</v>
      </c>
      <c r="D12" s="5" t="n">
        <v>2</v>
      </c>
      <c r="E12" s="6" t="str">
        <f aca="false">IF(C12&gt;Settings!$B$5,"Climb","Dive")</f>
        <v>Climb</v>
      </c>
      <c r="F12" s="15" t="n">
        <f aca="false">LN(B12)/LN(48)</f>
        <v>0.641895536497917</v>
      </c>
      <c r="G12" s="15" t="n">
        <f aca="false">IF(E12="Climb",Settings!$B$10,Settings!$B$6+Settings!$B$7*F12)</f>
        <v>12</v>
      </c>
      <c r="H12" s="15" t="n">
        <f aca="false">IF(E12="Climb",G12+(Settings!$B$11+Settings!$B$12)/2,G12+(Settings!$B$8+Settings!$B$9)/4)</f>
        <v>17.25</v>
      </c>
      <c r="I12" s="15" t="n">
        <f aca="false">IF(E12="Climb",G12+(Settings!$B$11+Settings!$B$12)/2,G12+(Settings!$B$8+Settings!$B$9)/2)</f>
        <v>17.25</v>
      </c>
    </row>
    <row r="13" customFormat="false" ht="15" hidden="false" customHeight="false" outlineLevel="0" collapsed="false">
      <c r="A13" s="4" t="s">
        <v>75</v>
      </c>
      <c r="B13" s="5" t="n">
        <v>16</v>
      </c>
      <c r="C13" s="14" t="n">
        <f aca="false">37.8*B13</f>
        <v>604.8</v>
      </c>
      <c r="D13" s="5" t="n">
        <v>2</v>
      </c>
      <c r="E13" s="6" t="str">
        <f aca="false">IF(C13&gt;Settings!$B$5,"Climb","Dive")</f>
        <v>Climb</v>
      </c>
      <c r="F13" s="15" t="n">
        <f aca="false">LN(B13)/LN(48)</f>
        <v>0.716208927004165</v>
      </c>
      <c r="G13" s="15" t="n">
        <f aca="false">IF(E13="Climb",Settings!$B$10,Settings!$B$6+Settings!$B$7*F13)</f>
        <v>12</v>
      </c>
      <c r="H13" s="15" t="n">
        <f aca="false">IF(E13="Climb",G13+(Settings!$B$11+Settings!$B$12)/2,G13+(Settings!$B$8+Settings!$B$9)/4)</f>
        <v>17.25</v>
      </c>
      <c r="I13" s="15" t="n">
        <f aca="false">IF(E13="Climb",G13+(Settings!$B$11+Settings!$B$12)/2,G13+(Settings!$B$8+Settings!$B$9)/2)</f>
        <v>17.25</v>
      </c>
    </row>
    <row r="14" customFormat="false" ht="15" hidden="false" customHeight="false" outlineLevel="0" collapsed="false">
      <c r="A14" s="4" t="s">
        <v>76</v>
      </c>
      <c r="B14" s="5" t="n">
        <v>24</v>
      </c>
      <c r="C14" s="14" t="n">
        <f aca="false">37.8*B14</f>
        <v>907.2</v>
      </c>
      <c r="D14" s="5" t="n">
        <v>2</v>
      </c>
      <c r="E14" s="6" t="str">
        <f aca="false">IF(C14&gt;Settings!$B$5,"Climb","Dive")</f>
        <v>Climb</v>
      </c>
      <c r="F14" s="15" t="n">
        <f aca="false">LN(B14)/LN(48)</f>
        <v>0.820947768248959</v>
      </c>
      <c r="G14" s="15" t="n">
        <f aca="false">IF(E14="Climb",Settings!$B$10,Settings!$B$6+Settings!$B$7*F14)</f>
        <v>12</v>
      </c>
      <c r="H14" s="15" t="n">
        <f aca="false">IF(E14="Climb",G14+(Settings!$B$11+Settings!$B$12)/2,G14+(Settings!$B$8+Settings!$B$9)/4)</f>
        <v>17.25</v>
      </c>
      <c r="I14" s="15" t="n">
        <f aca="false">IF(E14="Climb",G14+(Settings!$B$11+Settings!$B$12)/2,G14+(Settings!$B$8+Settings!$B$9)/2)</f>
        <v>17.25</v>
      </c>
    </row>
    <row r="15" customFormat="false" ht="15" hidden="false" customHeight="false" outlineLevel="0" collapsed="false">
      <c r="A15" s="4" t="s">
        <v>77</v>
      </c>
      <c r="B15" s="5" t="n">
        <v>40</v>
      </c>
      <c r="C15" s="14" t="n">
        <f aca="false">37.8*B15</f>
        <v>1512</v>
      </c>
      <c r="D15" s="5" t="n">
        <v>2</v>
      </c>
      <c r="E15" s="6" t="str">
        <f aca="false">IF(C15&gt;Settings!$B$5,"Climb","Dive")</f>
        <v>Climb</v>
      </c>
      <c r="F15" s="15" t="n">
        <f aca="false">LN(B15)/LN(48)</f>
        <v>0.95290310260815</v>
      </c>
      <c r="G15" s="15" t="n">
        <f aca="false">IF(E15="Climb",Settings!$B$10,Settings!$B$6+Settings!$B$7*F15)</f>
        <v>12</v>
      </c>
      <c r="H15" s="15" t="n">
        <f aca="false">IF(E15="Climb",G15+(Settings!$B$11+Settings!$B$12)/2,G15+(Settings!$B$8+Settings!$B$9)/4)</f>
        <v>17.25</v>
      </c>
      <c r="I15" s="15" t="n">
        <f aca="false">IF(E15="Climb",G15+(Settings!$B$11+Settings!$B$12)/2,G15+(Settings!$B$8+Settings!$B$9)/2)</f>
        <v>17.25</v>
      </c>
    </row>
    <row r="16" customFormat="false" ht="15" hidden="false" customHeight="false" outlineLevel="0" collapsed="false">
      <c r="A16" s="4" t="s">
        <v>78</v>
      </c>
      <c r="B16" s="5" t="n">
        <v>48</v>
      </c>
      <c r="C16" s="14" t="n">
        <f aca="false">37.8*B16</f>
        <v>1814.4</v>
      </c>
      <c r="D16" s="5" t="n">
        <v>3</v>
      </c>
      <c r="E16" s="6" t="str">
        <f aca="false">IF(C16&gt;Settings!$B$5,"Climb","Dive")</f>
        <v>Climb</v>
      </c>
      <c r="F16" s="15" t="n">
        <f aca="false">LN(B16)/LN(48)</f>
        <v>1</v>
      </c>
      <c r="G16" s="15" t="n">
        <f aca="false">IF(E16="Climb",Settings!$B$10,Settings!$B$6+Settings!$B$7*F16)</f>
        <v>12</v>
      </c>
      <c r="H16" s="15" t="n">
        <f aca="false">IF(E16="Climb",G16+(Settings!$B$11+Settings!$B$12)/2,G16+(Settings!$B$8+Settings!$B$9)/4)</f>
        <v>17.25</v>
      </c>
      <c r="I16" s="15" t="n">
        <f aca="false">IF(E16="Climb",G16+(Settings!$B$11+Settings!$B$12)/2,G16+(Settings!$B$8+Settings!$B$9)/2)</f>
        <v>17.25</v>
      </c>
    </row>
    <row r="17" customFormat="false" ht="15" hidden="false" customHeight="false" outlineLevel="0" collapsed="false">
      <c r="A17" s="4" t="s">
        <v>79</v>
      </c>
      <c r="D17" s="4" t="n">
        <f aca="false">SUM(D5:D16)</f>
        <v>30</v>
      </c>
    </row>
    <row r="19" customFormat="false" ht="15" hidden="false" customHeight="false" outlineLevel="0" collapsed="false">
      <c r="A19" s="4" t="s">
        <v>80</v>
      </c>
    </row>
    <row r="20" customFormat="false" ht="15" hidden="false" customHeight="false" outlineLevel="0" collapsed="false">
      <c r="A20" s="2" t="s">
        <v>81</v>
      </c>
    </row>
    <row r="21" customFormat="false" ht="15" hidden="false" customHeight="false" outlineLevel="0" collapsed="false">
      <c r="A21" s="2" t="s">
        <v>82</v>
      </c>
    </row>
    <row r="22" customFormat="false" ht="15" hidden="false" customHeight="false" outlineLevel="0" collapsed="false">
      <c r="A22" s="2" t="s">
        <v>83</v>
      </c>
    </row>
    <row r="23" customFormat="false" ht="15" hidden="false" customHeight="false" outlineLevel="0" collapsed="false">
      <c r="A23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2026-10-18T18:24:29Z</dcterms:created>
  <dc:creator>openpyxl</dc:creator>
  <dc:description/>
  <dc:language>en-US</dc:language>
  <cp:lastModifiedBy/>
  <dcterms:modified xsi:type="dcterms:W3CDTF">2026-10-18T18:24:29Z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