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Volumes/OWC STX NVMe/Dropbox/Allen Organ/THX Deep Note/"/>
    </mc:Choice>
  </mc:AlternateContent>
  <xr:revisionPtr revIDLastSave="0" documentId="8_{BB7DAEB0-8845-3240-B92A-314AEB4FD1A0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About" sheetId="1" r:id="rId1"/>
    <sheet name="Harmonics" sheetId="2" r:id="rId2"/>
    <sheet name="Knee compariso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3" l="1"/>
  <c r="E21" i="3"/>
  <c r="D21" i="3"/>
  <c r="C21" i="3"/>
  <c r="B21" i="3"/>
  <c r="F20" i="3"/>
  <c r="E20" i="3"/>
  <c r="D20" i="3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E15" i="3"/>
  <c r="D15" i="3"/>
  <c r="C15" i="3"/>
  <c r="B15" i="3"/>
  <c r="F14" i="3"/>
  <c r="E14" i="3"/>
  <c r="D14" i="3"/>
  <c r="C14" i="3"/>
  <c r="B14" i="3"/>
  <c r="F13" i="3"/>
  <c r="E13" i="3"/>
  <c r="D13" i="3"/>
  <c r="C13" i="3"/>
  <c r="B13" i="3"/>
  <c r="F12" i="3"/>
  <c r="E12" i="3"/>
  <c r="D12" i="3"/>
  <c r="C12" i="3"/>
  <c r="B12" i="3"/>
  <c r="F11" i="3"/>
  <c r="E11" i="3"/>
  <c r="D11" i="3"/>
  <c r="C11" i="3"/>
  <c r="B11" i="3"/>
  <c r="F10" i="3"/>
  <c r="E10" i="3"/>
  <c r="D10" i="3"/>
  <c r="C10" i="3"/>
  <c r="B10" i="3"/>
  <c r="F9" i="3"/>
  <c r="E9" i="3"/>
  <c r="D9" i="3"/>
  <c r="C9" i="3"/>
  <c r="B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D33" i="2"/>
  <c r="B33" i="2"/>
  <c r="D32" i="2"/>
  <c r="B32" i="2"/>
  <c r="D31" i="2"/>
  <c r="B31" i="2"/>
  <c r="D30" i="2"/>
  <c r="B30" i="2"/>
  <c r="D29" i="2"/>
  <c r="B29" i="2"/>
  <c r="D28" i="2"/>
  <c r="B28" i="2"/>
  <c r="D27" i="2"/>
  <c r="B27" i="2"/>
  <c r="D26" i="2"/>
  <c r="B26" i="2"/>
  <c r="D25" i="2"/>
  <c r="B25" i="2"/>
  <c r="D24" i="2"/>
  <c r="B24" i="2"/>
  <c r="D23" i="2"/>
  <c r="B23" i="2"/>
  <c r="D22" i="2"/>
  <c r="B22" i="2"/>
  <c r="D21" i="2"/>
  <c r="B21" i="2"/>
  <c r="D20" i="2"/>
  <c r="B20" i="2"/>
  <c r="D19" i="2"/>
  <c r="B19" i="2"/>
  <c r="D18" i="2"/>
  <c r="B18" i="2"/>
  <c r="B13" i="2"/>
  <c r="B15" i="2" l="1"/>
  <c r="B14" i="2"/>
  <c r="C18" i="2" l="1"/>
  <c r="G18" i="2"/>
  <c r="C19" i="2"/>
  <c r="G19" i="2"/>
  <c r="C20" i="2"/>
  <c r="G20" i="2"/>
  <c r="C21" i="2"/>
  <c r="G21" i="2"/>
  <c r="C22" i="2"/>
  <c r="G22" i="2"/>
  <c r="C23" i="2"/>
  <c r="G23" i="2"/>
  <c r="C24" i="2"/>
  <c r="G24" i="2"/>
  <c r="C25" i="2"/>
  <c r="G25" i="2"/>
  <c r="C26" i="2"/>
  <c r="G26" i="2"/>
  <c r="C27" i="2"/>
  <c r="G27" i="2"/>
  <c r="C28" i="2"/>
  <c r="G28" i="2"/>
  <c r="C29" i="2"/>
  <c r="G29" i="2"/>
  <c r="C30" i="2"/>
  <c r="G30" i="2"/>
  <c r="C31" i="2"/>
  <c r="G31" i="2"/>
  <c r="C32" i="2"/>
  <c r="G32" i="2"/>
  <c r="C33" i="2"/>
  <c r="G33" i="2"/>
  <c r="E18" i="2" l="1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100-000001000000}">
      <text>
        <r>
          <rPr>
            <sz val="10"/>
            <rFont val="Arial"/>
            <family val="2"/>
          </rPr>
          <t>Settings copied from deep_note_play.py as of 2026-10-18.</t>
        </r>
      </text>
    </comment>
  </commentList>
</comments>
</file>

<file path=xl/sharedStrings.xml><?xml version="1.0" encoding="utf-8"?>
<sst xmlns="http://schemas.openxmlformats.org/spreadsheetml/2006/main" count="57" uniqueCount="53">
  <si>
    <t>Knee: where a voice's tone stops being bright</t>
  </si>
  <si>
    <t>Each voice is a fundamental plus up to 16 harmonics (multiples of its pitch).</t>
  </si>
  <si>
    <t>The knee sets how many harmonics keep full sawtooth-like strength (harmonic k at 1/k) before the rest fall off steeply.</t>
  </si>
  <si>
    <t>Harmonics 1 to the knee: stay strong. This is where a voice's brightness and edge come from.</t>
  </si>
  <si>
    <t>Harmonics above the knee: fall off faster, at about 1/k^1.8 (ROLLOFF_HIGH), so the voice doesn't sound like a raw, buzzy sawtooth.</t>
  </si>
  <si>
    <t>It depends on pitch: KNEE_HIGH applies at 200 Hz and above; below that the knee shrinks toward 1 at 80 Hz,</t>
  </si>
  <si>
    <t>so bass voices fall off steeply from the fundamental and stay round. Diving voices also slide toward that bass tone as they descend.</t>
  </si>
  <si>
    <t>Why it exists: it fixed the sawtooth-sounding voice at the start of the glide (before, every voice above 200 Hz kept all 16 harmonics at full sawtooth strength).</t>
  </si>
  <si>
    <t>Changing KNEE_HIGH:</t>
  </si>
  <si>
    <t xml:space="preserve">  Higher (5-6): climbing voices brighter and edgier, closer to the reference's top end; too high and the sawtooth quality returns.</t>
  </si>
  <si>
    <t xml:space="preserve">  Lower (2-3): mellower, more cello-like and less cutting; the climb can start to sound filtered again.</t>
  </si>
  <si>
    <t>Not included here: the 650 Hz body resonance (FORMANT_*) and the treble filter that opens with the crescendo (LOWPASS_*).</t>
  </si>
  <si>
    <t>Both further shape each voice's tone on top of the knee, so these tables show the basic harmonic pattern only.</t>
  </si>
  <si>
    <t>How to use: edit the blue cells on the 'Harmonics' sheet (voice pitch and settings). Everything else recalculates.</t>
  </si>
  <si>
    <t>Harmonic levels for one voice</t>
  </si>
  <si>
    <t>Edit the blue cells. Values in the yellow cell are the one most worth trying.</t>
  </si>
  <si>
    <t>Input</t>
  </si>
  <si>
    <t>Value</t>
  </si>
  <si>
    <t>Unit</t>
  </si>
  <si>
    <t>Notes</t>
  </si>
  <si>
    <t>Voice pitch</t>
  </si>
  <si>
    <t>Hz</t>
  </si>
  <si>
    <t>The voice's current pitch (try 100, 200, 400, 1000)</t>
  </si>
  <si>
    <t>KNEE_HIGH</t>
  </si>
  <si>
    <t>Knee for voices at or above ROLLOFF_HIGH_HZ (script value)</t>
  </si>
  <si>
    <t>ROLLOFF_HIGH</t>
  </si>
  <si>
    <t>Fall-off exponent above the knee, high voices (script value)</t>
  </si>
  <si>
    <t>ROLLOFF_LOW</t>
  </si>
  <si>
    <t>Fall-off exponent for bass voices (script value)</t>
  </si>
  <si>
    <t>ROLLOFF_LOW_HZ</t>
  </si>
  <si>
    <t>At or below this: knee 1, ROLLOFF_LOW (script value)</t>
  </si>
  <si>
    <t>ROLLOFF_HIGH_HZ</t>
  </si>
  <si>
    <t>At or above this: KNEE_HIGH, ROLLOFF_HIGH (script value)</t>
  </si>
  <si>
    <t>Derived</t>
  </si>
  <si>
    <t>How it's computed</t>
  </si>
  <si>
    <t>Register (0 = bass, 1 = high)</t>
  </si>
  <si>
    <t>Position of the pitch between ROLLOFF_LOW_HZ and ROLLOFF_HIGH_HZ, on a log scale</t>
  </si>
  <si>
    <t>Knee for this voice</t>
  </si>
  <si>
    <t>1 + (KNEE_HIGH - 1) x register</t>
  </si>
  <si>
    <t>Rolloff for this voice</t>
  </si>
  <si>
    <t>ROLLOFF_LOW + (ROLLOFF_HIGH - ROLLOFF_LOW) x register</t>
  </si>
  <si>
    <t>Harmonic</t>
  </si>
  <si>
    <t>Frequency (Hz)</t>
  </si>
  <si>
    <t>Amplitude (this voice)</t>
  </si>
  <si>
    <t>Amplitude (pure sawtooth)</t>
  </si>
  <si>
    <t>Level vs sawtooth (dB)</t>
  </si>
  <si>
    <t>Level vs fundamental (dB)</t>
  </si>
  <si>
    <t>Above the knee?</t>
  </si>
  <si>
    <t>Effect of KNEE_HIGH on a high voice</t>
  </si>
  <si>
    <t>Level of each harmonic versus a pure sawtooth (dB), for a voice at or above 200 Hz. Uses ROLLOFF_HIGH from the Harmonics sheet.</t>
  </si>
  <si>
    <t>KNEE_HIGH values to compare:</t>
  </si>
  <si>
    <t>0.0 = same strength as a pure sawtooth; more negative = quieter (less buzzy).</t>
  </si>
  <si>
    <t>The current script setting is KNEE_HIGH = 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</si>
</sst>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;\-0.0;0.0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i/>
      <sz val="11"/>
      <color rgb="FF555555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4858"/>
        <bgColor rgb="FF555555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vertical="center" wrapText="1"/>
    </xf>
    <xf numFmtId="0" fontId="7" fillId="0" borderId="0" xfId="0" applyFont="1"/>
    <xf numFmtId="0" fontId="7" fillId="3" borderId="0" xfId="0" applyFont="1" applyFill="1"/>
    <xf numFmtId="2" fontId="3" fillId="0" borderId="0" xfId="0" applyNumberFormat="1" applyFont="1"/>
    <xf numFmtId="3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2F485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Harmonic amplitude: this voice vs pure sawtooth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Harmonics!$C$17</c:f>
              <c:strCache>
                <c:ptCount val="1"/>
                <c:pt idx="0">
                  <c:v>Amplitude (this voice)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Harmonics!$A$18:$A$33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Harmonics!$C$18:$C$33</c:f>
              <c:numCache>
                <c:formatCode>0.0000</c:formatCode>
                <c:ptCount val="16"/>
                <c:pt idx="0">
                  <c:v>1</c:v>
                </c:pt>
                <c:pt idx="1">
                  <c:v>0.5</c:v>
                </c:pt>
                <c:pt idx="2">
                  <c:v>0.33333333333333331</c:v>
                </c:pt>
                <c:pt idx="3">
                  <c:v>0.25</c:v>
                </c:pt>
                <c:pt idx="4">
                  <c:v>0.16730232841460374</c:v>
                </c:pt>
                <c:pt idx="5">
                  <c:v>0.12049686346641095</c:v>
                </c:pt>
                <c:pt idx="6">
                  <c:v>9.1300156303685265E-2</c:v>
                </c:pt>
                <c:pt idx="7">
                  <c:v>7.1793647187314694E-2</c:v>
                </c:pt>
                <c:pt idx="8">
                  <c:v>5.8077976420971525E-2</c:v>
                </c:pt>
                <c:pt idx="9">
                  <c:v>4.8044977359257252E-2</c:v>
                </c:pt>
                <c:pt idx="10">
                  <c:v>4.0470741334356179E-2</c:v>
                </c:pt>
                <c:pt idx="11">
                  <c:v>3.4603637211542138E-2</c:v>
                </c:pt>
                <c:pt idx="12">
                  <c:v>2.9960562228591326E-2</c:v>
                </c:pt>
                <c:pt idx="13">
                  <c:v>2.6219084839253858E-2</c:v>
                </c:pt>
                <c:pt idx="14">
                  <c:v>2.3157076308420906E-2</c:v>
                </c:pt>
                <c:pt idx="15">
                  <c:v>2.0617311105826475E-2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5E-AE4A-82BA-B93D5AA22575}"/>
            </c:ext>
          </c:extLst>
        </c:ser>
        <c:ser>
          <c:idx val="1"/>
          <c:order val="1"/>
          <c:tx>
            <c:strRef>
              <c:f>Harmonics!$D$17</c:f>
              <c:strCache>
                <c:ptCount val="1"/>
                <c:pt idx="0">
                  <c:v>Amplitude (pure sawtooth)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Harmonics!$A$18:$A$33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Harmonics!$D$18:$D$33</c:f>
              <c:numCache>
                <c:formatCode>0.0000</c:formatCode>
                <c:ptCount val="16"/>
                <c:pt idx="0">
                  <c:v>1</c:v>
                </c:pt>
                <c:pt idx="1">
                  <c:v>0.5</c:v>
                </c:pt>
                <c:pt idx="2">
                  <c:v>0.33333333333333331</c:v>
                </c:pt>
                <c:pt idx="3">
                  <c:v>0.25</c:v>
                </c:pt>
                <c:pt idx="4">
                  <c:v>0.2</c:v>
                </c:pt>
                <c:pt idx="5">
                  <c:v>0.16666666666666666</c:v>
                </c:pt>
                <c:pt idx="6">
                  <c:v>0.14285714285714285</c:v>
                </c:pt>
                <c:pt idx="7">
                  <c:v>0.125</c:v>
                </c:pt>
                <c:pt idx="8">
                  <c:v>0.1111111111111111</c:v>
                </c:pt>
                <c:pt idx="9">
                  <c:v>0.1</c:v>
                </c:pt>
                <c:pt idx="10">
                  <c:v>9.0909090909090912E-2</c:v>
                </c:pt>
                <c:pt idx="11">
                  <c:v>8.3333333333333329E-2</c:v>
                </c:pt>
                <c:pt idx="12">
                  <c:v>7.6923076923076927E-2</c:v>
                </c:pt>
                <c:pt idx="13">
                  <c:v>7.1428571428571425E-2</c:v>
                </c:pt>
                <c:pt idx="14">
                  <c:v>6.6666666666666666E-2</c:v>
                </c:pt>
                <c:pt idx="15">
                  <c:v>6.25E-2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5E-AE4A-82BA-B93D5AA22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034745"/>
        <c:axId val="52552463"/>
      </c:lineChart>
      <c:catAx>
        <c:axId val="120347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Harmonic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552463"/>
        <c:crosses val="autoZero"/>
        <c:auto val="1"/>
        <c:lblAlgn val="ctr"/>
        <c:lblOffset val="100"/>
        <c:noMultiLvlLbl val="0"/>
      </c:catAx>
      <c:valAx>
        <c:axId val="525524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Amplitude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20347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160920</xdr:rowOff>
    </xdr:from>
    <xdr:to>
      <xdr:col>17</xdr:col>
      <xdr:colOff>255960</xdr:colOff>
      <xdr:row>17</xdr:row>
      <xdr:rowOff>32400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zoomScaleNormal="100" workbookViewId="0"/>
  </sheetViews>
  <sheetFormatPr baseColWidth="10" defaultColWidth="8.6640625" defaultRowHeight="15" x14ac:dyDescent="0.2"/>
  <cols>
    <col min="1" max="1" width="130" customWidth="1"/>
  </cols>
  <sheetData>
    <row r="1" spans="1:1" ht="18" x14ac:dyDescent="0.2">
      <c r="A1" s="1" t="s">
        <v>0</v>
      </c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/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/>
    </row>
    <row r="11" spans="1:1" x14ac:dyDescent="0.2">
      <c r="A11" s="2" t="s">
        <v>7</v>
      </c>
    </row>
    <row r="12" spans="1:1" x14ac:dyDescent="0.2">
      <c r="A12" s="2"/>
    </row>
    <row r="13" spans="1:1" x14ac:dyDescent="0.2">
      <c r="A13" s="3" t="s">
        <v>8</v>
      </c>
    </row>
    <row r="14" spans="1:1" x14ac:dyDescent="0.2">
      <c r="A14" s="2" t="s">
        <v>9</v>
      </c>
    </row>
    <row r="15" spans="1:1" x14ac:dyDescent="0.2">
      <c r="A15" s="2" t="s">
        <v>10</v>
      </c>
    </row>
    <row r="16" spans="1:1" x14ac:dyDescent="0.2">
      <c r="A16" s="2"/>
    </row>
    <row r="17" spans="1:1" x14ac:dyDescent="0.2">
      <c r="A17" s="2" t="s">
        <v>11</v>
      </c>
    </row>
    <row r="18" spans="1:1" x14ac:dyDescent="0.2">
      <c r="A18" s="2" t="s">
        <v>12</v>
      </c>
    </row>
    <row r="19" spans="1:1" x14ac:dyDescent="0.2">
      <c r="A19" s="2"/>
    </row>
    <row r="20" spans="1:1" x14ac:dyDescent="0.2">
      <c r="A20" s="3" t="s">
        <v>13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2" width="16" customWidth="1"/>
    <col min="3" max="4" width="22" customWidth="1"/>
    <col min="5" max="5" width="20" customWidth="1"/>
    <col min="6" max="6" width="22" customWidth="1"/>
    <col min="7" max="7" width="14" customWidth="1"/>
  </cols>
  <sheetData>
    <row r="1" spans="1:4" ht="18" x14ac:dyDescent="0.2">
      <c r="A1" s="1" t="s">
        <v>14</v>
      </c>
    </row>
    <row r="2" spans="1:4" x14ac:dyDescent="0.2">
      <c r="A2" s="4" t="s">
        <v>15</v>
      </c>
    </row>
    <row r="4" spans="1:4" x14ac:dyDescent="0.2">
      <c r="A4" s="5" t="s">
        <v>16</v>
      </c>
      <c r="B4" s="5" t="s">
        <v>17</v>
      </c>
      <c r="C4" s="5" t="s">
        <v>18</v>
      </c>
      <c r="D4" s="5" t="s">
        <v>19</v>
      </c>
    </row>
    <row r="5" spans="1:4" x14ac:dyDescent="0.2">
      <c r="A5" s="3" t="s">
        <v>20</v>
      </c>
      <c r="B5" s="6">
        <v>400</v>
      </c>
      <c r="C5" s="2" t="s">
        <v>21</v>
      </c>
      <c r="D5" s="2" t="s">
        <v>22</v>
      </c>
    </row>
    <row r="6" spans="1:4" x14ac:dyDescent="0.2">
      <c r="A6" s="3" t="s">
        <v>23</v>
      </c>
      <c r="B6" s="7">
        <v>4</v>
      </c>
      <c r="C6" s="2"/>
      <c r="D6" s="2" t="s">
        <v>24</v>
      </c>
    </row>
    <row r="7" spans="1:4" x14ac:dyDescent="0.2">
      <c r="A7" s="3" t="s">
        <v>25</v>
      </c>
      <c r="B7" s="6">
        <v>1.8</v>
      </c>
      <c r="C7" s="2"/>
      <c r="D7" s="2" t="s">
        <v>26</v>
      </c>
    </row>
    <row r="8" spans="1:4" x14ac:dyDescent="0.2">
      <c r="A8" s="3" t="s">
        <v>27</v>
      </c>
      <c r="B8" s="6">
        <v>1.9</v>
      </c>
      <c r="C8" s="2"/>
      <c r="D8" s="2" t="s">
        <v>28</v>
      </c>
    </row>
    <row r="9" spans="1:4" x14ac:dyDescent="0.2">
      <c r="A9" s="3" t="s">
        <v>29</v>
      </c>
      <c r="B9" s="6">
        <v>80</v>
      </c>
      <c r="C9" s="2" t="s">
        <v>21</v>
      </c>
      <c r="D9" s="2" t="s">
        <v>30</v>
      </c>
    </row>
    <row r="10" spans="1:4" x14ac:dyDescent="0.2">
      <c r="A10" s="3" t="s">
        <v>31</v>
      </c>
      <c r="B10" s="6">
        <v>200</v>
      </c>
      <c r="C10" s="2" t="s">
        <v>21</v>
      </c>
      <c r="D10" s="2" t="s">
        <v>32</v>
      </c>
    </row>
    <row r="12" spans="1:4" x14ac:dyDescent="0.2">
      <c r="A12" s="5" t="s">
        <v>33</v>
      </c>
      <c r="B12" s="5" t="s">
        <v>17</v>
      </c>
      <c r="C12" s="5"/>
      <c r="D12" s="5" t="s">
        <v>34</v>
      </c>
    </row>
    <row r="13" spans="1:4" x14ac:dyDescent="0.2">
      <c r="A13" s="3" t="s">
        <v>35</v>
      </c>
      <c r="B13" s="8">
        <f>MAX(0,MIN(1,LN(B5/B9)/LN(B10/B9)))</f>
        <v>1</v>
      </c>
      <c r="D13" s="2" t="s">
        <v>36</v>
      </c>
    </row>
    <row r="14" spans="1:4" x14ac:dyDescent="0.2">
      <c r="A14" s="3" t="s">
        <v>37</v>
      </c>
      <c r="B14" s="8">
        <f>1+(B6-1)*B13</f>
        <v>4</v>
      </c>
      <c r="D14" s="2" t="s">
        <v>38</v>
      </c>
    </row>
    <row r="15" spans="1:4" x14ac:dyDescent="0.2">
      <c r="A15" s="3" t="s">
        <v>39</v>
      </c>
      <c r="B15" s="8">
        <f>B8+(B7-B8)*B13</f>
        <v>1.8</v>
      </c>
      <c r="D15" s="2" t="s">
        <v>40</v>
      </c>
    </row>
    <row r="17" spans="1:7" ht="30" x14ac:dyDescent="0.2">
      <c r="A17" s="5" t="s">
        <v>41</v>
      </c>
      <c r="B17" s="5" t="s">
        <v>42</v>
      </c>
      <c r="C17" s="5" t="s">
        <v>43</v>
      </c>
      <c r="D17" s="5" t="s">
        <v>44</v>
      </c>
      <c r="E17" s="5" t="s">
        <v>45</v>
      </c>
      <c r="F17" s="5" t="s">
        <v>46</v>
      </c>
      <c r="G17" s="5" t="s">
        <v>47</v>
      </c>
    </row>
    <row r="18" spans="1:7" x14ac:dyDescent="0.2">
      <c r="A18" s="2">
        <v>1</v>
      </c>
      <c r="B18" s="9">
        <f t="shared" ref="B18:B33" si="0">A18*$B$5</f>
        <v>400</v>
      </c>
      <c r="C18" s="10">
        <f t="shared" ref="C18:C33" si="1">1/A18*MAX(A18/$B$14,1)^(1-$B$15)</f>
        <v>1</v>
      </c>
      <c r="D18" s="10">
        <f t="shared" ref="D18:D33" si="2">1/A18</f>
        <v>1</v>
      </c>
      <c r="E18" s="11">
        <f t="shared" ref="E18:E33" si="3">20*LOG10(C18/D18)</f>
        <v>0</v>
      </c>
      <c r="F18" s="11">
        <f t="shared" ref="F18:F33" si="4">20*LOG10(C18/$C$18)</f>
        <v>0</v>
      </c>
      <c r="G18" s="2" t="str">
        <f t="shared" ref="G18:G33" si="5">IF(A18&gt;$B$14,"yes","no")</f>
        <v>no</v>
      </c>
    </row>
    <row r="19" spans="1:7" x14ac:dyDescent="0.2">
      <c r="A19" s="2">
        <v>2</v>
      </c>
      <c r="B19" s="9">
        <f t="shared" si="0"/>
        <v>800</v>
      </c>
      <c r="C19" s="10">
        <f t="shared" si="1"/>
        <v>0.5</v>
      </c>
      <c r="D19" s="10">
        <f t="shared" si="2"/>
        <v>0.5</v>
      </c>
      <c r="E19" s="11">
        <f t="shared" si="3"/>
        <v>0</v>
      </c>
      <c r="F19" s="11">
        <f t="shared" si="4"/>
        <v>-6.0205999132796242</v>
      </c>
      <c r="G19" s="2" t="str">
        <f t="shared" si="5"/>
        <v>no</v>
      </c>
    </row>
    <row r="20" spans="1:7" x14ac:dyDescent="0.2">
      <c r="A20" s="2">
        <v>3</v>
      </c>
      <c r="B20" s="9">
        <f t="shared" si="0"/>
        <v>1200</v>
      </c>
      <c r="C20" s="10">
        <f t="shared" si="1"/>
        <v>0.33333333333333331</v>
      </c>
      <c r="D20" s="10">
        <f t="shared" si="2"/>
        <v>0.33333333333333331</v>
      </c>
      <c r="E20" s="11">
        <f t="shared" si="3"/>
        <v>0</v>
      </c>
      <c r="F20" s="11">
        <f t="shared" si="4"/>
        <v>-9.5424250943932485</v>
      </c>
      <c r="G20" s="2" t="str">
        <f t="shared" si="5"/>
        <v>no</v>
      </c>
    </row>
    <row r="21" spans="1:7" x14ac:dyDescent="0.2">
      <c r="A21" s="2">
        <v>4</v>
      </c>
      <c r="B21" s="9">
        <f t="shared" si="0"/>
        <v>1600</v>
      </c>
      <c r="C21" s="10">
        <f t="shared" si="1"/>
        <v>0.25</v>
      </c>
      <c r="D21" s="10">
        <f t="shared" si="2"/>
        <v>0.25</v>
      </c>
      <c r="E21" s="11">
        <f t="shared" si="3"/>
        <v>0</v>
      </c>
      <c r="F21" s="11">
        <f t="shared" si="4"/>
        <v>-12.041199826559248</v>
      </c>
      <c r="G21" s="2" t="str">
        <f t="shared" si="5"/>
        <v>no</v>
      </c>
    </row>
    <row r="22" spans="1:7" x14ac:dyDescent="0.2">
      <c r="A22" s="2">
        <v>5</v>
      </c>
      <c r="B22" s="9">
        <f t="shared" si="0"/>
        <v>2000</v>
      </c>
      <c r="C22" s="10">
        <f t="shared" si="1"/>
        <v>0.16730232841460374</v>
      </c>
      <c r="D22" s="10">
        <f t="shared" si="2"/>
        <v>0.2</v>
      </c>
      <c r="E22" s="11">
        <f t="shared" si="3"/>
        <v>-1.5505602081289018</v>
      </c>
      <c r="F22" s="11">
        <f t="shared" si="4"/>
        <v>-15.529960294849277</v>
      </c>
      <c r="G22" s="2" t="str">
        <f t="shared" si="5"/>
        <v>yes</v>
      </c>
    </row>
    <row r="23" spans="1:7" x14ac:dyDescent="0.2">
      <c r="A23" s="2">
        <v>6</v>
      </c>
      <c r="B23" s="9">
        <f t="shared" si="0"/>
        <v>2400</v>
      </c>
      <c r="C23" s="10">
        <f t="shared" si="1"/>
        <v>0.12049686346641095</v>
      </c>
      <c r="D23" s="10">
        <f t="shared" si="2"/>
        <v>0.16666666666666666</v>
      </c>
      <c r="E23" s="11">
        <f t="shared" si="3"/>
        <v>-2.8174601448908998</v>
      </c>
      <c r="F23" s="11">
        <f t="shared" si="4"/>
        <v>-18.380485152563772</v>
      </c>
      <c r="G23" s="2" t="str">
        <f t="shared" si="5"/>
        <v>yes</v>
      </c>
    </row>
    <row r="24" spans="1:7" x14ac:dyDescent="0.2">
      <c r="A24" s="2">
        <v>7</v>
      </c>
      <c r="B24" s="9">
        <f t="shared" si="0"/>
        <v>2800</v>
      </c>
      <c r="C24" s="10">
        <f t="shared" si="1"/>
        <v>9.1300156303685265E-2</v>
      </c>
      <c r="D24" s="10">
        <f t="shared" si="2"/>
        <v>0.14285714285714285</v>
      </c>
      <c r="E24" s="11">
        <f t="shared" si="3"/>
        <v>-3.8886087789807124</v>
      </c>
      <c r="F24" s="11">
        <f t="shared" si="4"/>
        <v>-20.790569579265849</v>
      </c>
      <c r="G24" s="2" t="str">
        <f t="shared" si="5"/>
        <v>yes</v>
      </c>
    </row>
    <row r="25" spans="1:7" x14ac:dyDescent="0.2">
      <c r="A25" s="2">
        <v>8</v>
      </c>
      <c r="B25" s="9">
        <f t="shared" si="0"/>
        <v>3200</v>
      </c>
      <c r="C25" s="10">
        <f t="shared" si="1"/>
        <v>7.1793647187314694E-2</v>
      </c>
      <c r="D25" s="10">
        <f t="shared" si="2"/>
        <v>0.125</v>
      </c>
      <c r="E25" s="11">
        <f t="shared" si="3"/>
        <v>-4.8164799306236983</v>
      </c>
      <c r="F25" s="11">
        <f t="shared" si="4"/>
        <v>-22.878279670462568</v>
      </c>
      <c r="G25" s="2" t="str">
        <f t="shared" si="5"/>
        <v>yes</v>
      </c>
    </row>
    <row r="26" spans="1:7" x14ac:dyDescent="0.2">
      <c r="A26" s="2">
        <v>9</v>
      </c>
      <c r="B26" s="9">
        <f t="shared" si="0"/>
        <v>3600</v>
      </c>
      <c r="C26" s="10">
        <f t="shared" si="1"/>
        <v>5.8077976420971525E-2</v>
      </c>
      <c r="D26" s="10">
        <f t="shared" si="2"/>
        <v>0.1111111111111111</v>
      </c>
      <c r="E26" s="11">
        <f t="shared" si="3"/>
        <v>-5.6349202897818005</v>
      </c>
      <c r="F26" s="11">
        <f t="shared" si="4"/>
        <v>-24.7197704785683</v>
      </c>
      <c r="G26" s="2" t="str">
        <f t="shared" si="5"/>
        <v>yes</v>
      </c>
    </row>
    <row r="27" spans="1:7" x14ac:dyDescent="0.2">
      <c r="A27" s="2">
        <v>10</v>
      </c>
      <c r="B27" s="9">
        <f t="shared" si="0"/>
        <v>4000</v>
      </c>
      <c r="C27" s="10">
        <f t="shared" si="1"/>
        <v>4.8044977359257252E-2</v>
      </c>
      <c r="D27" s="10">
        <f t="shared" si="2"/>
        <v>0.1</v>
      </c>
      <c r="E27" s="11">
        <f t="shared" si="3"/>
        <v>-6.3670401387526008</v>
      </c>
      <c r="F27" s="11">
        <f t="shared" si="4"/>
        <v>-26.3670401387526</v>
      </c>
      <c r="G27" s="2" t="str">
        <f t="shared" si="5"/>
        <v>yes</v>
      </c>
    </row>
    <row r="28" spans="1:7" x14ac:dyDescent="0.2">
      <c r="A28" s="2">
        <v>11</v>
      </c>
      <c r="B28" s="9">
        <f t="shared" si="0"/>
        <v>4400</v>
      </c>
      <c r="C28" s="10">
        <f t="shared" si="1"/>
        <v>4.0470741334356179E-2</v>
      </c>
      <c r="D28" s="10">
        <f t="shared" si="2"/>
        <v>9.0909090909090912E-2</v>
      </c>
      <c r="E28" s="11">
        <f t="shared" si="3"/>
        <v>-7.0293231012842048</v>
      </c>
      <c r="F28" s="11">
        <f t="shared" si="4"/>
        <v>-27.857176804448706</v>
      </c>
      <c r="G28" s="2" t="str">
        <f t="shared" si="5"/>
        <v>yes</v>
      </c>
    </row>
    <row r="29" spans="1:7" x14ac:dyDescent="0.2">
      <c r="A29" s="2">
        <v>12</v>
      </c>
      <c r="B29" s="9">
        <f t="shared" si="0"/>
        <v>4800</v>
      </c>
      <c r="C29" s="10">
        <f t="shared" si="1"/>
        <v>3.4603637211542138E-2</v>
      </c>
      <c r="D29" s="10">
        <f t="shared" si="2"/>
        <v>8.3333333333333329E-2</v>
      </c>
      <c r="E29" s="11">
        <f t="shared" si="3"/>
        <v>-7.6339400755146016</v>
      </c>
      <c r="F29" s="11">
        <f t="shared" si="4"/>
        <v>-29.2175649964671</v>
      </c>
      <c r="G29" s="2" t="str">
        <f t="shared" si="5"/>
        <v>yes</v>
      </c>
    </row>
    <row r="30" spans="1:7" x14ac:dyDescent="0.2">
      <c r="A30" s="2">
        <v>13</v>
      </c>
      <c r="B30" s="9">
        <f t="shared" si="0"/>
        <v>5200</v>
      </c>
      <c r="C30" s="10">
        <f t="shared" si="1"/>
        <v>2.9960562228591326E-2</v>
      </c>
      <c r="D30" s="10">
        <f t="shared" si="2"/>
        <v>7.6923076923076927E-2</v>
      </c>
      <c r="E30" s="11">
        <f t="shared" si="3"/>
        <v>-8.190133775661991</v>
      </c>
      <c r="F30" s="11">
        <f t="shared" si="4"/>
        <v>-30.469000821798726</v>
      </c>
      <c r="G30" s="2" t="str">
        <f t="shared" si="5"/>
        <v>yes</v>
      </c>
    </row>
    <row r="31" spans="1:7" x14ac:dyDescent="0.2">
      <c r="A31" s="2">
        <v>14</v>
      </c>
      <c r="B31" s="9">
        <f t="shared" si="0"/>
        <v>5600</v>
      </c>
      <c r="C31" s="10">
        <f t="shared" si="1"/>
        <v>2.6219084839253858E-2</v>
      </c>
      <c r="D31" s="10">
        <f t="shared" si="2"/>
        <v>7.1428571428571425E-2</v>
      </c>
      <c r="E31" s="11">
        <f t="shared" si="3"/>
        <v>-8.7050887096044107</v>
      </c>
      <c r="F31" s="11">
        <f t="shared" si="4"/>
        <v>-31.627649423169171</v>
      </c>
      <c r="G31" s="2" t="str">
        <f t="shared" si="5"/>
        <v>yes</v>
      </c>
    </row>
    <row r="32" spans="1:7" x14ac:dyDescent="0.2">
      <c r="A32" s="2">
        <v>15</v>
      </c>
      <c r="B32" s="9">
        <f t="shared" si="0"/>
        <v>6000</v>
      </c>
      <c r="C32" s="10">
        <f t="shared" si="1"/>
        <v>2.3157076308420906E-2</v>
      </c>
      <c r="D32" s="10">
        <f t="shared" si="2"/>
        <v>6.6666666666666666E-2</v>
      </c>
      <c r="E32" s="11">
        <f t="shared" si="3"/>
        <v>-9.1845002836435015</v>
      </c>
      <c r="F32" s="11">
        <f t="shared" si="4"/>
        <v>-32.706325464757128</v>
      </c>
      <c r="G32" s="2" t="str">
        <f t="shared" si="5"/>
        <v>yes</v>
      </c>
    </row>
    <row r="33" spans="1:7" x14ac:dyDescent="0.2">
      <c r="A33" s="2">
        <v>16</v>
      </c>
      <c r="B33" s="9">
        <f t="shared" si="0"/>
        <v>6400</v>
      </c>
      <c r="C33" s="10">
        <f t="shared" si="1"/>
        <v>2.0617311105826475E-2</v>
      </c>
      <c r="D33" s="10">
        <f t="shared" si="2"/>
        <v>6.25E-2</v>
      </c>
      <c r="E33" s="11">
        <f t="shared" si="3"/>
        <v>-9.6329598612473983</v>
      </c>
      <c r="F33" s="11">
        <f t="shared" si="4"/>
        <v>-33.715359514365893</v>
      </c>
      <c r="G33" s="2" t="str">
        <f t="shared" si="5"/>
        <v>yes</v>
      </c>
    </row>
  </sheetData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workbookViewId="0"/>
  </sheetViews>
  <sheetFormatPr baseColWidth="10" defaultColWidth="8.6640625" defaultRowHeight="15" x14ac:dyDescent="0.2"/>
  <cols>
    <col min="1" max="6" width="12" customWidth="1"/>
  </cols>
  <sheetData>
    <row r="1" spans="1:6" ht="18" x14ac:dyDescent="0.2">
      <c r="A1" s="1" t="s">
        <v>48</v>
      </c>
    </row>
    <row r="2" spans="1:6" x14ac:dyDescent="0.2">
      <c r="A2" s="4" t="s">
        <v>49</v>
      </c>
    </row>
    <row r="4" spans="1:6" x14ac:dyDescent="0.2">
      <c r="A4" s="3" t="s">
        <v>50</v>
      </c>
      <c r="B4" s="6">
        <v>2</v>
      </c>
      <c r="C4" s="6">
        <v>3</v>
      </c>
      <c r="D4" s="6">
        <v>4</v>
      </c>
      <c r="E4" s="6">
        <v>5</v>
      </c>
      <c r="F4" s="6">
        <v>6</v>
      </c>
    </row>
    <row r="5" spans="1:6" x14ac:dyDescent="0.2">
      <c r="A5" s="5" t="s">
        <v>41</v>
      </c>
      <c r="B5" s="5" t="str">
        <f>"Knee "&amp;B4</f>
        <v>Knee 2</v>
      </c>
      <c r="C5" s="5" t="str">
        <f>"Knee "&amp;C4</f>
        <v>Knee 3</v>
      </c>
      <c r="D5" s="5" t="str">
        <f>"Knee "&amp;D4</f>
        <v>Knee 4</v>
      </c>
      <c r="E5" s="5" t="str">
        <f>"Knee "&amp;E4</f>
        <v>Knee 5</v>
      </c>
      <c r="F5" s="5" t="str">
        <f>"Knee "&amp;F4</f>
        <v>Knee 6</v>
      </c>
    </row>
    <row r="6" spans="1:6" x14ac:dyDescent="0.2">
      <c r="A6" s="2">
        <v>1</v>
      </c>
      <c r="B6" s="11">
        <f>20*LOG10(MAX($A6/B$4,1)^(1-Harmonics!$B$7))</f>
        <v>0</v>
      </c>
      <c r="C6" s="11">
        <f>20*LOG10(MAX($A6/C$4,1)^(1-Harmonics!$B$7))</f>
        <v>0</v>
      </c>
      <c r="D6" s="11">
        <f>20*LOG10(MAX($A6/D$4,1)^(1-Harmonics!$B$7))</f>
        <v>0</v>
      </c>
      <c r="E6" s="11">
        <f>20*LOG10(MAX($A6/E$4,1)^(1-Harmonics!$B$7))</f>
        <v>0</v>
      </c>
      <c r="F6" s="11">
        <f>20*LOG10(MAX($A6/F$4,1)^(1-Harmonics!$B$7))</f>
        <v>0</v>
      </c>
    </row>
    <row r="7" spans="1:6" x14ac:dyDescent="0.2">
      <c r="A7" s="2">
        <v>2</v>
      </c>
      <c r="B7" s="11">
        <f>20*LOG10(MAX($A7/B$4,1)^(1-Harmonics!$B$7))</f>
        <v>0</v>
      </c>
      <c r="C7" s="11">
        <f>20*LOG10(MAX($A7/C$4,1)^(1-Harmonics!$B$7))</f>
        <v>0</v>
      </c>
      <c r="D7" s="11">
        <f>20*LOG10(MAX($A7/D$4,1)^(1-Harmonics!$B$7))</f>
        <v>0</v>
      </c>
      <c r="E7" s="11">
        <f>20*LOG10(MAX($A7/E$4,1)^(1-Harmonics!$B$7))</f>
        <v>0</v>
      </c>
      <c r="F7" s="11">
        <f>20*LOG10(MAX($A7/F$4,1)^(1-Harmonics!$B$7))</f>
        <v>0</v>
      </c>
    </row>
    <row r="8" spans="1:6" x14ac:dyDescent="0.2">
      <c r="A8" s="2">
        <v>3</v>
      </c>
      <c r="B8" s="11">
        <f>20*LOG10(MAX($A8/B$4,1)^(1-Harmonics!$B$7))</f>
        <v>-2.8174601448908998</v>
      </c>
      <c r="C8" s="11">
        <f>20*LOG10(MAX($A8/C$4,1)^(1-Harmonics!$B$7))</f>
        <v>0</v>
      </c>
      <c r="D8" s="11">
        <f>20*LOG10(MAX($A8/D$4,1)^(1-Harmonics!$B$7))</f>
        <v>0</v>
      </c>
      <c r="E8" s="11">
        <f>20*LOG10(MAX($A8/E$4,1)^(1-Harmonics!$B$7))</f>
        <v>0</v>
      </c>
      <c r="F8" s="11">
        <f>20*LOG10(MAX($A8/F$4,1)^(1-Harmonics!$B$7))</f>
        <v>0</v>
      </c>
    </row>
    <row r="9" spans="1:6" x14ac:dyDescent="0.2">
      <c r="A9" s="2">
        <v>4</v>
      </c>
      <c r="B9" s="11">
        <f>20*LOG10(MAX($A9/B$4,1)^(1-Harmonics!$B$7))</f>
        <v>-4.8164799306236983</v>
      </c>
      <c r="C9" s="11">
        <f>20*LOG10(MAX($A9/C$4,1)^(1-Harmonics!$B$7))</f>
        <v>-1.9990197857327987</v>
      </c>
      <c r="D9" s="11">
        <f>20*LOG10(MAX($A9/D$4,1)^(1-Harmonics!$B$7))</f>
        <v>0</v>
      </c>
      <c r="E9" s="11">
        <f>20*LOG10(MAX($A9/E$4,1)^(1-Harmonics!$B$7))</f>
        <v>0</v>
      </c>
      <c r="F9" s="11">
        <f>20*LOG10(MAX($A9/F$4,1)^(1-Harmonics!$B$7))</f>
        <v>0</v>
      </c>
    </row>
    <row r="10" spans="1:6" x14ac:dyDescent="0.2">
      <c r="A10" s="2">
        <v>5</v>
      </c>
      <c r="B10" s="11">
        <f>20*LOG10(MAX($A10/B$4,1)^(1-Harmonics!$B$7))</f>
        <v>-6.3670401387526017</v>
      </c>
      <c r="C10" s="11">
        <f>20*LOG10(MAX($A10/C$4,1)^(1-Harmonics!$B$7))</f>
        <v>-3.5495799938617019</v>
      </c>
      <c r="D10" s="11">
        <f>20*LOG10(MAX($A10/D$4,1)^(1-Harmonics!$B$7))</f>
        <v>-1.5505602081289018</v>
      </c>
      <c r="E10" s="11">
        <f>20*LOG10(MAX($A10/E$4,1)^(1-Harmonics!$B$7))</f>
        <v>0</v>
      </c>
      <c r="F10" s="11">
        <f>20*LOG10(MAX($A10/F$4,1)^(1-Harmonics!$B$7))</f>
        <v>0</v>
      </c>
    </row>
    <row r="11" spans="1:6" x14ac:dyDescent="0.2">
      <c r="A11" s="2">
        <v>6</v>
      </c>
      <c r="B11" s="11">
        <f>20*LOG10(MAX($A11/B$4,1)^(1-Harmonics!$B$7))</f>
        <v>-7.6339400755145999</v>
      </c>
      <c r="C11" s="11">
        <f>20*LOG10(MAX($A11/C$4,1)^(1-Harmonics!$B$7))</f>
        <v>-4.8164799306236983</v>
      </c>
      <c r="D11" s="11">
        <f>20*LOG10(MAX($A11/D$4,1)^(1-Harmonics!$B$7))</f>
        <v>-2.8174601448908998</v>
      </c>
      <c r="E11" s="11">
        <f>20*LOG10(MAX($A11/E$4,1)^(1-Harmonics!$B$7))</f>
        <v>-1.2668999367619977</v>
      </c>
      <c r="F11" s="11">
        <f>20*LOG10(MAX($A11/F$4,1)^(1-Harmonics!$B$7))</f>
        <v>0</v>
      </c>
    </row>
    <row r="12" spans="1:6" x14ac:dyDescent="0.2">
      <c r="A12" s="2">
        <v>7</v>
      </c>
      <c r="B12" s="11">
        <f>20*LOG10(MAX($A12/B$4,1)^(1-Harmonics!$B$7))</f>
        <v>-8.7050887096044107</v>
      </c>
      <c r="C12" s="11">
        <f>20*LOG10(MAX($A12/C$4,1)^(1-Harmonics!$B$7))</f>
        <v>-5.8876285647135118</v>
      </c>
      <c r="D12" s="11">
        <f>20*LOG10(MAX($A12/D$4,1)^(1-Harmonics!$B$7))</f>
        <v>-3.8886087789807124</v>
      </c>
      <c r="E12" s="11">
        <f>20*LOG10(MAX($A12/E$4,1)^(1-Harmonics!$B$7))</f>
        <v>-2.3380485708518095</v>
      </c>
      <c r="F12" s="11">
        <f>20*LOG10(MAX($A12/F$4,1)^(1-Harmonics!$B$7))</f>
        <v>-1.0711486340898113</v>
      </c>
    </row>
    <row r="13" spans="1:6" x14ac:dyDescent="0.2">
      <c r="A13" s="2">
        <v>8</v>
      </c>
      <c r="B13" s="11">
        <f>20*LOG10(MAX($A13/B$4,1)^(1-Harmonics!$B$7))</f>
        <v>-9.6329598612473983</v>
      </c>
      <c r="C13" s="11">
        <f>20*LOG10(MAX($A13/C$4,1)^(1-Harmonics!$B$7))</f>
        <v>-6.8154997163564985</v>
      </c>
      <c r="D13" s="11">
        <f>20*LOG10(MAX($A13/D$4,1)^(1-Harmonics!$B$7))</f>
        <v>-4.8164799306236983</v>
      </c>
      <c r="E13" s="11">
        <f>20*LOG10(MAX($A13/E$4,1)^(1-Harmonics!$B$7))</f>
        <v>-3.2659197224947976</v>
      </c>
      <c r="F13" s="11">
        <f>20*LOG10(MAX($A13/F$4,1)^(1-Harmonics!$B$7))</f>
        <v>-1.9990197857327987</v>
      </c>
    </row>
    <row r="14" spans="1:6" x14ac:dyDescent="0.2">
      <c r="A14" s="2">
        <v>9</v>
      </c>
      <c r="B14" s="11">
        <f>20*LOG10(MAX($A14/B$4,1)^(1-Harmonics!$B$7))</f>
        <v>-10.451400220405503</v>
      </c>
      <c r="C14" s="11">
        <f>20*LOG10(MAX($A14/C$4,1)^(1-Harmonics!$B$7))</f>
        <v>-7.6339400755145999</v>
      </c>
      <c r="D14" s="11">
        <f>20*LOG10(MAX($A14/D$4,1)^(1-Harmonics!$B$7))</f>
        <v>-5.6349202897818005</v>
      </c>
      <c r="E14" s="11">
        <f>20*LOG10(MAX($A14/E$4,1)^(1-Harmonics!$B$7))</f>
        <v>-4.0843600816528989</v>
      </c>
      <c r="F14" s="11">
        <f>20*LOG10(MAX($A14/F$4,1)^(1-Harmonics!$B$7))</f>
        <v>-2.8174601448908998</v>
      </c>
    </row>
    <row r="15" spans="1:6" x14ac:dyDescent="0.2">
      <c r="A15" s="2">
        <v>10</v>
      </c>
      <c r="B15" s="11">
        <f>20*LOG10(MAX($A15/B$4,1)^(1-Harmonics!$B$7))</f>
        <v>-11.1835200693763</v>
      </c>
      <c r="C15" s="11">
        <f>20*LOG10(MAX($A15/C$4,1)^(1-Harmonics!$B$7))</f>
        <v>-8.3660599244854019</v>
      </c>
      <c r="D15" s="11">
        <f>20*LOG10(MAX($A15/D$4,1)^(1-Harmonics!$B$7))</f>
        <v>-6.3670401387526017</v>
      </c>
      <c r="E15" s="11">
        <f>20*LOG10(MAX($A15/E$4,1)^(1-Harmonics!$B$7))</f>
        <v>-4.8164799306236983</v>
      </c>
      <c r="F15" s="11">
        <f>20*LOG10(MAX($A15/F$4,1)^(1-Harmonics!$B$7))</f>
        <v>-3.5495799938617019</v>
      </c>
    </row>
    <row r="16" spans="1:6" x14ac:dyDescent="0.2">
      <c r="A16" s="2">
        <v>11</v>
      </c>
      <c r="B16" s="11">
        <f>20*LOG10(MAX($A16/B$4,1)^(1-Harmonics!$B$7))</f>
        <v>-11.8458030319079</v>
      </c>
      <c r="C16" s="11">
        <f>20*LOG10(MAX($A16/C$4,1)^(1-Harmonics!$B$7))</f>
        <v>-9.0283428870170006</v>
      </c>
      <c r="D16" s="11">
        <f>20*LOG10(MAX($A16/D$4,1)^(1-Harmonics!$B$7))</f>
        <v>-7.0293231012842039</v>
      </c>
      <c r="E16" s="11">
        <f>20*LOG10(MAX($A16/E$4,1)^(1-Harmonics!$B$7))</f>
        <v>-5.4787628931553023</v>
      </c>
      <c r="F16" s="11">
        <f>20*LOG10(MAX($A16/F$4,1)^(1-Harmonics!$B$7))</f>
        <v>-4.2118629563933014</v>
      </c>
    </row>
    <row r="17" spans="1:6" x14ac:dyDescent="0.2">
      <c r="A17" s="2">
        <v>12</v>
      </c>
      <c r="B17" s="11">
        <f>20*LOG10(MAX($A17/B$4,1)^(1-Harmonics!$B$7))</f>
        <v>-12.450420006138298</v>
      </c>
      <c r="C17" s="11">
        <f>20*LOG10(MAX($A17/C$4,1)^(1-Harmonics!$B$7))</f>
        <v>-9.6329598612473983</v>
      </c>
      <c r="D17" s="11">
        <f>20*LOG10(MAX($A17/D$4,1)^(1-Harmonics!$B$7))</f>
        <v>-7.6339400755145999</v>
      </c>
      <c r="E17" s="11">
        <f>20*LOG10(MAX($A17/E$4,1)^(1-Harmonics!$B$7))</f>
        <v>-6.0833798673856974</v>
      </c>
      <c r="F17" s="11">
        <f>20*LOG10(MAX($A17/F$4,1)^(1-Harmonics!$B$7))</f>
        <v>-4.8164799306236983</v>
      </c>
    </row>
    <row r="18" spans="1:6" x14ac:dyDescent="0.2">
      <c r="A18" s="2">
        <v>13</v>
      </c>
      <c r="B18" s="11">
        <f>20*LOG10(MAX($A18/B$4,1)^(1-Harmonics!$B$7))</f>
        <v>-13.006613706285691</v>
      </c>
      <c r="C18" s="11">
        <f>20*LOG10(MAX($A18/C$4,1)^(1-Harmonics!$B$7))</f>
        <v>-10.189153561394789</v>
      </c>
      <c r="D18" s="11">
        <f>20*LOG10(MAX($A18/D$4,1)^(1-Harmonics!$B$7))</f>
        <v>-8.190133775661991</v>
      </c>
      <c r="E18" s="11">
        <f>20*LOG10(MAX($A18/E$4,1)^(1-Harmonics!$B$7))</f>
        <v>-6.6395735675330876</v>
      </c>
      <c r="F18" s="11">
        <f>20*LOG10(MAX($A18/F$4,1)^(1-Harmonics!$B$7))</f>
        <v>-5.3726736307710894</v>
      </c>
    </row>
    <row r="19" spans="1:6" x14ac:dyDescent="0.2">
      <c r="A19" s="2">
        <v>14</v>
      </c>
      <c r="B19" s="11">
        <f>20*LOG10(MAX($A19/B$4,1)^(1-Harmonics!$B$7))</f>
        <v>-13.521568640228111</v>
      </c>
      <c r="C19" s="11">
        <f>20*LOG10(MAX($A19/C$4,1)^(1-Harmonics!$B$7))</f>
        <v>-10.704108495337213</v>
      </c>
      <c r="D19" s="11">
        <f>20*LOG10(MAX($A19/D$4,1)^(1-Harmonics!$B$7))</f>
        <v>-8.7050887096044107</v>
      </c>
      <c r="E19" s="11">
        <f>20*LOG10(MAX($A19/E$4,1)^(1-Harmonics!$B$7))</f>
        <v>-7.1545285014755065</v>
      </c>
      <c r="F19" s="11">
        <f>20*LOG10(MAX($A19/F$4,1)^(1-Harmonics!$B$7))</f>
        <v>-5.8876285647135118</v>
      </c>
    </row>
    <row r="20" spans="1:6" x14ac:dyDescent="0.2">
      <c r="A20" s="2">
        <v>15</v>
      </c>
      <c r="B20" s="11">
        <f>20*LOG10(MAX($A20/B$4,1)^(1-Harmonics!$B$7))</f>
        <v>-14.0009802142672</v>
      </c>
      <c r="C20" s="11">
        <f>20*LOG10(MAX($A20/C$4,1)^(1-Harmonics!$B$7))</f>
        <v>-11.1835200693763</v>
      </c>
      <c r="D20" s="11">
        <f>20*LOG10(MAX($A20/D$4,1)^(1-Harmonics!$B$7))</f>
        <v>-9.1845002836435015</v>
      </c>
      <c r="E20" s="11">
        <f>20*LOG10(MAX($A20/E$4,1)^(1-Harmonics!$B$7))</f>
        <v>-7.6339400755145999</v>
      </c>
      <c r="F20" s="11">
        <f>20*LOG10(MAX($A20/F$4,1)^(1-Harmonics!$B$7))</f>
        <v>-6.3670401387526017</v>
      </c>
    </row>
    <row r="21" spans="1:6" x14ac:dyDescent="0.2">
      <c r="A21" s="2">
        <v>16</v>
      </c>
      <c r="B21" s="11">
        <f>20*LOG10(MAX($A21/B$4,1)^(1-Harmonics!$B$7))</f>
        <v>-14.449439791871097</v>
      </c>
      <c r="C21" s="11">
        <f>20*LOG10(MAX($A21/C$4,1)^(1-Harmonics!$B$7))</f>
        <v>-11.631979646980197</v>
      </c>
      <c r="D21" s="11">
        <f>20*LOG10(MAX($A21/D$4,1)^(1-Harmonics!$B$7))</f>
        <v>-9.6329598612473983</v>
      </c>
      <c r="E21" s="11">
        <f>20*LOG10(MAX($A21/E$4,1)^(1-Harmonics!$B$7))</f>
        <v>-8.0823996531184967</v>
      </c>
      <c r="F21" s="11">
        <f>20*LOG10(MAX($A21/F$4,1)^(1-Harmonics!$B$7))</f>
        <v>-6.8154997163564985</v>
      </c>
    </row>
    <row r="23" spans="1:6" x14ac:dyDescent="0.2">
      <c r="A23" s="4" t="s">
        <v>51</v>
      </c>
    </row>
    <row r="24" spans="1:6" x14ac:dyDescent="0.2">
      <c r="A24" s="4" t="s">
        <v>52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Harmonics</vt:lpstr>
      <vt:lpstr>Knee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Aram Basmadjian</cp:lastModifiedBy>
  <cp:revision>1</cp:revision>
  <dcterms:created xsi:type="dcterms:W3CDTF">2026-10-18T20:03:55Z</dcterms:created>
  <dcterms:modified xsi:type="dcterms:W3CDTF">2026-10-18T20:05:21Z</dcterms:modified>
  <dc:language>en-US</dc:language>
</cp:coreProperties>
</file>